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AITHUCCHIEN\LABS-Product\day25\Track1_Day25_2A202601363_LuongThanhTrang\"/>
    </mc:Choice>
  </mc:AlternateContent>
  <xr:revisionPtr revIDLastSave="0" documentId="13_ncr:1_{A862DC32-BFAD-47B9-BCA0-1C63C8929752}" xr6:coauthVersionLast="47" xr6:coauthVersionMax="47" xr10:uidLastSave="{00000000-0000-0000-0000-000000000000}"/>
  <bookViews>
    <workbookView xWindow="4580" yWindow="2810" windowWidth="14400" windowHeight="7270" tabRatio="500" xr2:uid="{00000000-000D-0000-FFFF-FFFF00000000}"/>
  </bookViews>
  <sheets>
    <sheet name="0_README" sheetId="1" r:id="rId1"/>
    <sheet name="1_Cost_Job" sheetId="2" r:id="rId2"/>
    <sheet name="2_Pricing" sheetId="3" r:id="rId3"/>
    <sheet name="3_Value_Metric" sheetId="4" r:id="rId4"/>
    <sheet name="4_Channel_Fit" sheetId="5" r:id="rId5"/>
    <sheet name="5_90Day_Plan" sheetId="6" r:id="rId6"/>
    <sheet name="6_Benchmarks"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4" i="5" l="1"/>
  <c r="C34" i="5"/>
  <c r="B34" i="5"/>
  <c r="B35" i="5" s="1"/>
  <c r="B22" i="5"/>
  <c r="B10" i="5"/>
  <c r="B15" i="5" s="1"/>
  <c r="B16" i="5" s="1"/>
  <c r="B17" i="5" s="1"/>
  <c r="B8" i="5"/>
  <c r="B18" i="4"/>
  <c r="B21" i="4" s="1"/>
  <c r="B10" i="4"/>
  <c r="B51" i="3"/>
  <c r="B34" i="3"/>
  <c r="B31" i="3"/>
  <c r="B30" i="3"/>
  <c r="B16" i="3"/>
  <c r="B15" i="3"/>
  <c r="B13" i="3"/>
  <c r="B12" i="3"/>
  <c r="B77" i="2"/>
  <c r="B64" i="2"/>
  <c r="B54" i="2"/>
  <c r="B43" i="2"/>
  <c r="B74" i="2" s="1"/>
  <c r="B38" i="2"/>
  <c r="B73" i="2" s="1"/>
  <c r="B26" i="2"/>
  <c r="B28" i="2" s="1"/>
  <c r="B25" i="2"/>
  <c r="B24" i="2"/>
  <c r="B23" i="2"/>
  <c r="B11" i="2"/>
  <c r="B27" i="2" l="1"/>
  <c r="B31" i="2" s="1"/>
  <c r="B12" i="2"/>
  <c r="B55" i="2" s="1"/>
  <c r="B56" i="2" s="1"/>
  <c r="B63" i="2" l="1"/>
  <c r="B76" i="2"/>
  <c r="B47" i="2"/>
  <c r="B75" i="2" s="1"/>
  <c r="B62" i="2"/>
  <c r="B72" i="2"/>
  <c r="B29" i="3"/>
  <c r="B29" i="2"/>
  <c r="B44" i="3" l="1"/>
  <c r="C44" i="3" s="1"/>
  <c r="D44" i="3" s="1"/>
  <c r="B41" i="3"/>
  <c r="C41" i="3" s="1"/>
  <c r="D41" i="3" s="1"/>
  <c r="B43" i="3"/>
  <c r="C43" i="3" s="1"/>
  <c r="D43" i="3" s="1"/>
  <c r="B42" i="3"/>
  <c r="C42" i="3" s="1"/>
  <c r="D42" i="3" s="1"/>
  <c r="B40" i="3"/>
  <c r="C40" i="3" s="1"/>
  <c r="D40" i="3" s="1"/>
  <c r="B39" i="3"/>
  <c r="C39" i="3" s="1"/>
  <c r="D39" i="3" s="1"/>
  <c r="B33" i="3"/>
  <c r="B65" i="2"/>
  <c r="B66" i="2"/>
  <c r="C74" i="2" l="1"/>
  <c r="C76" i="2"/>
  <c r="C77" i="2"/>
  <c r="C73" i="2"/>
  <c r="C72" i="2"/>
  <c r="C75" i="2"/>
  <c r="B67" i="2"/>
  <c r="B53" i="3"/>
  <c r="B35" i="3"/>
  <c r="B5" i="3"/>
  <c r="B69" i="2"/>
  <c r="B7" i="3" l="1"/>
  <c r="B20" i="3"/>
  <c r="B22" i="3" s="1"/>
  <c r="B21" i="3"/>
  <c r="B49" i="3"/>
  <c r="B23" i="3" l="1"/>
  <c r="B24" i="3"/>
  <c r="B52" i="3"/>
  <c r="B6" i="5"/>
  <c r="B9" i="5" s="1"/>
  <c r="B23" i="5" s="1"/>
  <c r="B24" i="5" s="1"/>
  <c r="B25" i="3"/>
  <c r="B5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5" authorId="0" shapeId="0" xr:uid="{00000000-0006-0000-0100-000001000000}">
      <text>
        <r>
          <rPr>
            <sz val="11"/>
            <color theme="1"/>
            <rFont val="Calibri"/>
            <family val="2"/>
            <charset val="1"/>
          </rPr>
          <t>Ví dụ mẫu đang điền sẵn — thay bằng sản phẩm của bạn.</t>
        </r>
      </text>
    </comment>
  </commentList>
</comments>
</file>

<file path=xl/sharedStrings.xml><?xml version="1.0" encoding="utf-8"?>
<sst xmlns="http://schemas.openxmlformats.org/spreadsheetml/2006/main" count="623" uniqueCount="531">
  <si>
    <t>DAY 28 — MONETIZATION MODEL</t>
  </si>
  <si>
    <t>AI Pricing · GTM · Evidence — AI-IN-ACTION Track 1</t>
  </si>
  <si>
    <t>QUY ƯỚC MÀU — CHỈ ĐIỀN VÀO Ô MÀU VÀNG</t>
  </si>
  <si>
    <t>Ô VÀNG, chữ xanh dương</t>
  </si>
  <si>
    <t>Ô bạn phải điền</t>
  </si>
  <si>
    <t>Ô XÁM, chữ đen</t>
  </si>
  <si>
    <t>Công thức tự tính — KHÔNG SỬA</t>
  </si>
  <si>
    <t>Chữ xanh lá</t>
  </si>
  <si>
    <t>Link sang tab khác</t>
  </si>
  <si>
    <t>Ô XÁM đậm nhạt</t>
  </si>
  <si>
    <t>Bảng tham chiếu, chỉ đọc</t>
  </si>
  <si>
    <t>THỨ TỰ LÀM — 6 TRẠM, 120 PHÚT</t>
  </si>
  <si>
    <t>Trạm 1 · 15'</t>
  </si>
  <si>
    <t>Ngân sách khách &amp; định nghĩa Job → điền S1–S2 của tab 1_Cost_Job</t>
  </si>
  <si>
    <t>Trạm 2 · 20'</t>
  </si>
  <si>
    <t>Value Metric → tab 3_Value_Metric</t>
  </si>
  <si>
    <t>Trạm 3 · 30'</t>
  </si>
  <si>
    <t>Cost/Job, giá sàn &amp; giá trần → tab 1_Cost_Job (S3–S8) rồi 2_Pricing</t>
  </si>
  <si>
    <t>Trạm 4 · 20'</t>
  </si>
  <si>
    <t>Kênh phân phối &amp; Affordability Test → tab 4_Channel_Fit</t>
  </si>
  <si>
    <t>Trạm 5 · 15'</t>
  </si>
  <si>
    <t>Pain Moment &amp; 90-Day Plan → tab 5_90Day_Plan</t>
  </si>
  <si>
    <t>Trạm 6 · 20'</t>
  </si>
  <si>
    <t>Evidence Pack &amp; ráp One-Pager → tab 5_90Day_Plan + file .docx</t>
  </si>
  <si>
    <t>3 QUY TẮC KHÔNG ĐƯỢC PHÁ</t>
  </si>
  <si>
    <t>1. Chia cho số job HOÀN THÀNH, không phải số job đã thử.</t>
  </si>
  <si>
    <t>2. HITL và Retry không được để 0 nếu không có lý do viết ra được.</t>
  </si>
  <si>
    <t>3. Mọi con số giá API phải có NGÀY kiểm tra (xem tab 6_Benchmarks).</t>
  </si>
  <si>
    <t>Giá tham chiếu trong workbook này được chốt ngày 26/08/2026. Nhiều mức giá là KHUYẾN MẠI CÓ HẠN.</t>
  </si>
  <si>
    <t>Bạn PHẢI tự mở lại trang giá của nhà cung cấp và cập nhật — đây là một phần của bài tập.</t>
  </si>
  <si>
    <t>NHÓM THỰC HIỆN</t>
  </si>
  <si>
    <t>Lương Thanh Trang</t>
  </si>
  <si>
    <t>PM</t>
  </si>
  <si>
    <t>2A202601363</t>
  </si>
  <si>
    <t>Đỗ Đức Cường</t>
  </si>
  <si>
    <t>Backend</t>
  </si>
  <si>
    <t>2A202601455</t>
  </si>
  <si>
    <t>Nguyễn Thanh Hoàn</t>
  </si>
  <si>
    <t>Frontend</t>
  </si>
  <si>
    <t>2A202601201</t>
  </si>
  <si>
    <t>Đỗ Tuấn Kiệt</t>
  </si>
  <si>
    <t>AI Engineer</t>
  </si>
  <si>
    <t>2A202601335</t>
  </si>
  <si>
    <t>TAB 1 — COST/JOB CALCULATOR</t>
  </si>
  <si>
    <t>Trạm 1 (S1–S2) và Trạm 3 (S3–S8). Chỉ điền ô vàng.</t>
  </si>
  <si>
    <t>S1. ĐỊNH NGHĨA JOB</t>
  </si>
  <si>
    <t>1 job của bạn là gì?</t>
  </si>
  <si>
    <t>1 ca can thiệp chống lừa đảo hoàn tất = giao dịch bị risk engine gắn cờ, fraud_intervention_agent can thiệp, kết thúc trong 10 phút ở 1 trong 2 trạng thái: (a) người dùng HỦY giao dịch, hoặc (b) người dùng XÁC NHẬN TIẾP TỤC sau khi đã đọc hết cảnh báo. KHÔNG tính: giao dịch không bị gắn cờ · lỗi kỹ thuật/timeout · bỏ ngang không có trạng thái cuối · ca chuyển analyst.</t>
  </si>
  <si>
    <t>Phải là thứ KHÁCH coi là giá trị — không phải '1 request'</t>
  </si>
  <si>
    <t>Biến thể HITL: A hay B?</t>
  </si>
  <si>
    <t>B</t>
  </si>
  <si>
    <t>B hẹp — VPay chịu chi phí ANALYST ra phán quyết rủi ro cho ca AI không chắc. Viettel Money chịu chi phí CSKH nói chuyện với người dùng cuối (VPay bán giải pháp, không vận hành ví).</t>
  </si>
  <si>
    <t>S2. KHỐI LƯỢNG</t>
  </si>
  <si>
    <t>Số job THỬ / tháng</t>
  </si>
  <si>
    <t>job</t>
  </si>
  <si>
    <t>ƯỚC TÍNH: pilot ~1.000.000 giao dịch chuyển tiền/tháng x tỷ lệ gắn cờ 0,5% = 5.000 ca/tháng. Ngưỡng risk đặt ở 0,5% (không phải 2%) là QUYẾT ĐỊNH THIẾT KẾ do chi phí quy định: mỗi ca gắn cờ sai là ~8 phút analyst. Gắn cờ rộng hơn thì Cost/Job không đổi nhưng tổng hoá đơn HITL tăng tuyến tính.</t>
  </si>
  <si>
    <t>Containment rate (AI tự làm xong)</t>
  </si>
  <si>
    <t>ƯỚC TÍNH — chưa có kết quả eval chạy thật. Day 20+21 mới có THIẾT KẾ bộ eval (design-coverage/06_dataset_v1.csv), chưa có số đo. Phải thay bằng số thật sau pilot.</t>
  </si>
  <si>
    <t>→ Số job HOÀN THÀNH / tháng</t>
  </si>
  <si>
    <t>MẪU SỐ của Cost/Job</t>
  </si>
  <si>
    <t>→ Số job KHÔNG xong / tháng</t>
  </si>
  <si>
    <t>Số ca phải escalate</t>
  </si>
  <si>
    <t>S3. API — LLM</t>
  </si>
  <si>
    <t>Giá input ($ / 1M token)</t>
  </si>
  <si>
    <t>Gemini 3.5 Flash-Lite input — ai.google.dev/gemini-api/docs/pricing, kiểm tra 27/08/2026. KHÔNG phải giá khuyến mại.</t>
  </si>
  <si>
    <t>Giá output ($ / 1M token)</t>
  </si>
  <si>
    <t>Gemini 3.5 Flash-Lite output — kiểm tra 27/08/2026</t>
  </si>
  <si>
    <t>Giá cache WRITE ($ / 1M token)</t>
  </si>
  <si>
    <t>Gemini tính phí TẠO cache theo giá input ($0,30/1M) + phí LƯU cache riêng ($1,00/1M token/giờ, đã đưa vào S5 Infra). Khác Anthropic (1,25x input).</t>
  </si>
  <si>
    <t>Giá cache READ ($ / 1M token)</t>
  </si>
  <si>
    <t>Gemini context caching = $0,03/1M = 0,1x input — kiểm tra 27/08/2026</t>
  </si>
  <si>
    <t>Số lượt (turns) / job</t>
  </si>
  <si>
    <t>lượt</t>
  </si>
  <si>
    <t>8 lượt gọi LLM / ca = 4 lượt hội thoại x 2 call (analyzer ra phán quyết rủi ro + renderer sinh cảnh báo cho người dùng) — đúng pipeline fraud_intervention_agent của Day 24</t>
  </si>
  <si>
    <t>Token input CACHE ĐƯỢC / lượt</t>
  </si>
  <si>
    <t>token</t>
  </si>
  <si>
    <t>System prompt + chính sách chống lừa đảo của ví + few-shot cố định. Không đổi giữa các lượt nên cache được.</t>
  </si>
  <si>
    <t>Token input FRESH / lượt</t>
  </si>
  <si>
    <t>Dữ liệu giao dịch, hồ sơ rủi ro hành vi, chunk KB truy hồi theo kịch bản, câu người dùng — đổi mỗi lượt. Khớp giả định input Day 24 (1.200 token/call).</t>
  </si>
  <si>
    <t>Token output / lượt</t>
  </si>
  <si>
    <t>Khớp giả định output Day 24 Base (500 token/call). Analyzer ra JSON ngắn, renderer ra tin nhắn dài — trung bình 500.</t>
  </si>
  <si>
    <t>→ Cache write / job</t>
  </si>
  <si>
    <t>→ Cache read / job</t>
  </si>
  <si>
    <t>→ Input fresh / job</t>
  </si>
  <si>
    <t>→ Output / job</t>
  </si>
  <si>
    <t>→ LLM / job — CÓ prompt caching</t>
  </si>
  <si>
    <t>→ LLM / job — KHÔNG cache</t>
  </si>
  <si>
    <t>→ % tiết kiệm nhờ caching</t>
  </si>
  <si>
    <t>Đòn bẩy rẻ nhất bạn có</t>
  </si>
  <si>
    <t>Dùng Batch API? (1 = có, 0 = không)</t>
  </si>
  <si>
    <t>KHÔNG dùng Batch API. Can thiệp phải xảy ra realtime tại màn hình chuyển tiền trước khi tiền đi — trễ vài giờ là mất hoàn toàn giá trị. Bỏ qua khoản giảm 50%.</t>
  </si>
  <si>
    <t>→ LLM / job sau Batch</t>
  </si>
  <si>
    <t>S4. API — SPEECH (để 0 nếu sản phẩm không có thoại)</t>
  </si>
  <si>
    <t>Giá STT ($ / phút)</t>
  </si>
  <si>
    <t>VPay không có kênh thoại — can thiệp bằng giao diện trong app ví</t>
  </si>
  <si>
    <t>Số phút audio / job</t>
  </si>
  <si>
    <t>phút</t>
  </si>
  <si>
    <t>Giá TTS ($ / 1M ký tự)</t>
  </si>
  <si>
    <t>ElevenLabs Flash $50 · Google Standard $4</t>
  </si>
  <si>
    <t>Số ký tự TTS / job</t>
  </si>
  <si>
    <t>ký tự</t>
  </si>
  <si>
    <t>≈ 900 ký tự cho mỗi phút bot nói</t>
  </si>
  <si>
    <t>→ Speech / job</t>
  </si>
  <si>
    <t>S5. INFRA</t>
  </si>
  <si>
    <t>Infra / job ($)</t>
  </si>
  <si>
    <t>Cộng dồn / ca, ĐÃ CẬP NHẬT sau stress test 4.7.1: (a) risk engine chấm điểm TOÀN BỘ 1.000.000 giao dịch/tháng ~$50 phân bổ cho 5.000 ca = $0,0025 — 995.000 giao dịch không gắn cờ vẫn tốn tiền chấm; (b) vector DB + embedding $0,0005; (c) audit log + lưu trữ theo yêu cầu tuân thủ tài chính $0,0010; (d) phí LƯU cache Gemini $0,0001; (e) chạy eval định kỳ + observability $0,0016 (trước ước $0,0004 — quá thấp, eval 300 ca/tháng có LLM-as-judge tốn ~$8/tháng); (f) THÔNG BÁO 'NGƯỜI TIN CẬY' $0,0035 — 30% ca gửi SMS tới người thân x ~300 ₫/SMS. Khoản (f) trước để 0 là SAI: tính năng người tin cậy là lõi sản phẩm, và SMS mất tiền thật.</t>
  </si>
  <si>
    <t>Telephony ($ / phút)</t>
  </si>
  <si>
    <t>Không có telephony</t>
  </si>
  <si>
    <t>→ Infra / job</t>
  </si>
  <si>
    <t>S6. RETRY</t>
  </si>
  <si>
    <t>Tỷ lệ job phải chạy lại</t>
  </si>
  <si>
    <t>ƯỚC TÍNH trong dải thực tế 5–10%. Can thiệp realtime nên timeout phải gọi lại ngay, không hoãn được. Chưa có số đo thật.</t>
  </si>
  <si>
    <t>→ Retry / job</t>
  </si>
  <si>
    <t>S7. HITL — người trong vòng lặp</t>
  </si>
  <si>
    <t>Chi phí nhân sự ($ / giờ, fully-loaded)</t>
  </si>
  <si>
    <t>Fraud analyst VN, fully-loaded ~40 triệu ₫/tháng (lương + bảo hiểm + quản lý + chỗ ngồi) / 176 giờ = ~227.000 ₫/giờ = $8,7 -&gt; làm tròn $9 tại tỷ giá 26.000 ₫/USD · ƯỚC TÍNH NỘI BỘ, chốt ngày 27/08/2026 — chưa đối chiếu báo cáo lương công bố. Cần kiểm chứng bằng tin tuyển dụng TopCV/ITviec trước khi chào giá: sau số phút/ca, đây là biến nhạy thứ hai của mô hình.</t>
  </si>
  <si>
    <t>% hội thoại QA nội bộ</t>
  </si>
  <si>
    <t>QA nội bộ 5% hội thoại — luôn có kể cả biến thể A</t>
  </si>
  <si>
    <t>Số phút QA / ca</t>
  </si>
  <si>
    <t>3 phút/ca QA: đọc log hội thoại + đối chiếu phán quyết rủi ro. Ca gian lận cần đọc bối cảnh giao dịch nên lâu hơn ca CSKH thường.</t>
  </si>
  <si>
    <t>Số phút xử lý 1 ca escalate</t>
  </si>
  <si>
    <t>8 phút/ca escalate: analyst kéo lịch sử giao dịch, đối chiếu blacklist, xem tín hiệu hành vi, ra phán quyết chặn/thả. KHÔNG bao gồm thời gian CSKH của ví gọi cho người dùng — phần đó Viettel Money chịu.</t>
  </si>
  <si>
    <t>→ QA nội bộ / tháng</t>
  </si>
  <si>
    <t>→ Escalation / tháng (chỉ Biến thể B)</t>
  </si>
  <si>
    <t>Biến thể A → 0 vì khách tự chịu</t>
  </si>
  <si>
    <t>→ Tổng HITL / tháng</t>
  </si>
  <si>
    <t>S8. OVERHEAD (tuỳ chọn)</t>
  </si>
  <si>
    <t>R&amp;D + Sales phân bổ / tháng ($)</t>
  </si>
  <si>
    <t>Phân bổ/tháng cho 1 khách, ĐÃ CẬP NHẬT sau stress test 4.7.1: (a) triển khai một lần ~$9.230 chia 12 tháng = $769; (b) retune định kỳ 0,5 FTE data scientist = $770; (c) CSM + support = $500; (d) TRỰC ON-CALL 24/7 0,25 FTE kỹ sư = $400 — hệ thống chặn dòng tiền realtime, hỏng lúc 2h sáng phải có người; (e) PEN TEST + audit tuân thủ hằng năm $8.000 chia 12 = $667. Khoản (d) và (e) trước bị bỏ sót hoàn toàn.</t>
  </si>
  <si>
    <t>KẾT QUẢ</t>
  </si>
  <si>
    <t>Chi phí biến đổi / tháng (API + Speech + Infra + Retry)</t>
  </si>
  <si>
    <t>HITL / tháng</t>
  </si>
  <si>
    <t>Overhead / tháng</t>
  </si>
  <si>
    <t>TỔNG CHI PHÍ / tháng</t>
  </si>
  <si>
    <t>★ COST/JOB (chưa overhead)</t>
  </si>
  <si>
    <t>$/job</t>
  </si>
  <si>
    <t>Con số chảy sang tab 2_Pricing</t>
  </si>
  <si>
    <t>★ COST/JOB (có overhead)</t>
  </si>
  <si>
    <t>Tỷ giá (₫ / USD) — giả định</t>
  </si>
  <si>
    <t>₫/USD</t>
  </si>
  <si>
    <t>Theo quy ước template Day 25. Day 24 dùng 25.000 ₫ — đã thống nhất lại về 26.000 ₫. Tỷ giá tham chiếu ngày 27/08/2026.</t>
  </si>
  <si>
    <t>→ Cost/Job quy đổi</t>
  </si>
  <si>
    <t>₫/job</t>
  </si>
  <si>
    <t>THÀNH PHẦN NÀO ĂN NHIỀU NHẤT? (kiểm tra nhanh)</t>
  </si>
  <si>
    <t>LLM</t>
  </si>
  <si>
    <t>Speech</t>
  </si>
  <si>
    <t>Infra</t>
  </si>
  <si>
    <t>Retry</t>
  </si>
  <si>
    <t>HITL</t>
  </si>
  <si>
    <t>Overhead</t>
  </si>
  <si>
    <t>Nếu LLM chiếm &gt;80% thì gần như chắc chắn bạn đang thiếu chi phí ở S5–S7.</t>
  </si>
  <si>
    <t>TAB 2 — PRICING SANITY CHECK</t>
  </si>
  <si>
    <t>Trạm 3. Cost/Job tự lấy từ tab 1. Bạn điền giá bán và các con số neo giá.</t>
  </si>
  <si>
    <t>GIÁ SÀN</t>
  </si>
  <si>
    <t>Cost/Job (từ tab 1_Cost_Job)</t>
  </si>
  <si>
    <t>Hệ số an toàn tối thiểu</t>
  </si>
  <si>
    <t>×</t>
  </si>
  <si>
    <t>Chuẩn Day 28: giá bán ≥ 3 × Cost/Job</t>
  </si>
  <si>
    <t>→ GIÁ SÀN</t>
  </si>
  <si>
    <t>GIÁ TRẦN — NEO THEO THỨ KHÁCH ĐANG CHI</t>
  </si>
  <si>
    <t>Giá trị khách tiết kiệm được / tháng ($)</t>
  </si>
  <si>
    <t>DẢI thay vì một con số — stress test 4.7.5 chỉ ra chuỗi 3 giả định nhân nhau là điểm yếu nhất của mô hình. Gốc: 8.000 tỷ ₫ thiệt hại lừa đảo trực tuyến VN 2025 (Bộ Công an, vov.vn). THẤP 3% qua ví x 20% thị phần x 20% ngăn được = $30.769/tháng -&gt; trần 10–25% = $0,62–$1,54. CƠ SỞ 5% x 25% x 30% = $96.154/tháng -&gt; trần $1,92–$4,81. CAO 8% x 30% x 40% = $246.154/tháng -&gt; trần $4,92–$12,31. Ở kịch bản THẤP, giá $1,50 nằm ở 24,4% giá trị — sát mép trên dải 10–25%, vẫn bán được nhưng hết chỗ tăng giá. Đây là rủi ro thương mại phải nói với khách, không phải lỗi tính toán. Số 8.000 tỷ ₫ truy cập ngày 27/08/2026.</t>
  </si>
  <si>
    <t>Số job / tháng của 1 khách</t>
  </si>
  <si>
    <t>→ Trần theo giá trị — mức 10%</t>
  </si>
  <si>
    <t>→ Trần theo giá trị — mức 25%</t>
  </si>
  <si>
    <t>Lương / tháng của vị trí bị thay ($)</t>
  </si>
  <si>
    <t>Đội giám sát giao dịch 24/7 mà ví phải tự xây nếu không mua VPay: 6 analyst (3 ca x 2 người) x 40 triệu ₫ fully-loaded = 240 triệu ₫/tháng = $9.231. Đây là neo NHÂN CÔNG. Mức lương 40 triệu ₫/tháng chốt ngày 27/08/2026, cùng nguồn ước tính nội bộ với 1_Cost_Job!B50.</t>
  </si>
  <si>
    <t>→ Trần theo nhân công — mức 50%</t>
  </si>
  <si>
    <t>→ Trần theo nhân công — mức 70%</t>
  </si>
  <si>
    <t>GIÁ BÁN CỦA BẠN</t>
  </si>
  <si>
    <t>★ Giá bán đề xuất ($ / job)</t>
  </si>
  <si>
    <t>Chọn $1,50/ca: trên giá sàn $1,39 (=3x Cost/Job) và dưới trần 10% giá trị ($1,92). Tương đương ~7,8% giá trị khách tiết kiệm — cố ý đặt dưới dải 10–25% để dễ ký hợp đồng đầu tiên và còn chỗ tăng giá sau khi có Pilot Report. Tham chiếu: Intercom Fin $0,99/resolution, Stripe Radar $0,05/giao dịch được quét.</t>
  </si>
  <si>
    <t>→ Bội số so với Cost/Job</t>
  </si>
  <si>
    <t>→ GROSS MARGIN</t>
  </si>
  <si>
    <t>→ Đèn: bội số ≥ 3?</t>
  </si>
  <si>
    <t>→ Đèn: Gross Margin</t>
  </si>
  <si>
    <t>→ Đèn: GM có cao bất thường?</t>
  </si>
  <si>
    <t>→ Giá bán nằm trong vùng neo?</t>
  </si>
  <si>
    <t>BREAKEVEN CONTAINMENT — ngưỡng sống còn</t>
  </si>
  <si>
    <t>Ký hiệu: v = chi phí biến đổi / job thử · q = QA / job thử · e = chi phí 1 ca escalate</t>
  </si>
  <si>
    <t>v — chi phí biến đổi / job thử</t>
  </si>
  <si>
    <t>q — QA nội bộ / job thử</t>
  </si>
  <si>
    <t>e — chi phí 1 ca escalate</t>
  </si>
  <si>
    <t>Gross Margin mục tiêu</t>
  </si>
  <si>
    <t>★ Containment tối thiểu cần đạt</t>
  </si>
  <si>
    <t>Công thức: R ≥ (v+q+e) / (P×(1−GM)+e)</t>
  </si>
  <si>
    <t>Containment hiện tại (từ tab 1)</t>
  </si>
  <si>
    <t>→ Kết luận</t>
  </si>
  <si>
    <t>SENSITIVITY — mô hình gãy ở đâu?</t>
  </si>
  <si>
    <t>Containment</t>
  </si>
  <si>
    <t>Cost/Job</t>
  </si>
  <si>
    <t>Gross Margin</t>
  </si>
  <si>
    <t>Đánh giá</t>
  </si>
  <si>
    <t>Nhìn cột Gross Margin: mô hình của bạn mong manh đến mức nào khi AI làm sai nhiều hơn dự kiến?</t>
  </si>
  <si>
    <t>5 CON SỐ PHẢI MANG SANG ONE-PAGER</t>
  </si>
  <si>
    <t>Giá sàn (3×)</t>
  </si>
  <si>
    <t>Giá bán đề xuất</t>
  </si>
  <si>
    <t>Breakeven containment</t>
  </si>
  <si>
    <t>STRESS TEST 4.7.1 — GIÁ LLM TĂNG 5 LẦN</t>
  </si>
  <si>
    <t>Nếu buộc phải chuyển sang Gemini 3.7 Flash giá LIST ($1,50/$7,50 từ 01/01/2027), LLM/job tăng 3,6 lần:</t>
  </si>
  <si>
    <t>Cost/Job $0,5154 · Gross Margin 65,6% (vẫn &gt;=60%) · breakeven containment 71,5% (biên độ còn 3,5 điểm).</t>
  </si>
  <si>
    <t>KẾT LUẬN: mô hình chịu được cú sốc giá token vì token chỉ chiếm 1,5% tổng chi phí. Rủi ro thật là containment và số phút analyst/ca, không phải giá model.</t>
  </si>
  <si>
    <t>TAB 3 — VALUE METRIC SCORECARD</t>
  </si>
  <si>
    <t>Trạm 2. Chấm 0 / 1 / 2 điểm cho mỗi câu, theo THỰC TẾ HÔM NAY.</t>
  </si>
  <si>
    <t>A. ATTRIBUTION — bạn đo được kết quả là do AI tạo ra không?</t>
  </si>
  <si>
    <t>1. Tôi có log đầy đủ mỗi job AI xử lý, gắn được với kết quả cuối cùng</t>
  </si>
  <si>
    <t>Có log trạng thái cuối (hủy / xác nhận tiếp tục) trong thiết kế agent, nhưng CHƯA gắn được với kết quả tài chính thật (tiền có mất hay không) — cần dữ liệu khiếu nại/bồi hoàn của ví.</t>
  </si>
  <si>
    <t>2. Tôi có bộ eval (Day 21–22) đo được tỷ lệ AI làm đúng, có số liệu</t>
  </si>
  <si>
    <t>Day 20+21 mới có THIẾT KẾ bộ eval (design-coverage, dataset_v1.csv). Chưa chạy ra số liệu.</t>
  </si>
  <si>
    <t>3. Khách hàng đồng ý với cách tôi định nghĩa 'thành công' của một job</t>
  </si>
  <si>
    <t>Chưa làm việc với Viettel Money để họ đồng ý định nghĩa 'ca can thiệp hoàn tất'.</t>
  </si>
  <si>
    <t>4. Tôi phân biệt được kết quả do AI tạo ra với kết quả do yếu tố khác</t>
  </si>
  <si>
    <t>Chưa có holdout / A-B test. Người dùng hủy giao dịch có thể vì người thân can ngăn, không phải vì cảnh báo của VPay.</t>
  </si>
  <si>
    <t>5. Tôi viết được định nghĩa chặt như Intercom: cái gì tính tiền, cái gì không</t>
  </si>
  <si>
    <t>Đã viết định nghĩa chặt ở Trạm 1, có phần loại trừ rõ cái gì KHÔNG tính tiền.</t>
  </si>
  <si>
    <t>→ ĐIỂM ATTRIBUTION (tối đa 10)</t>
  </si>
  <si>
    <t>B. AUTONOMY — AI tự chạy hay cần người?</t>
  </si>
  <si>
    <t>1. AI hoàn thành job từ đầu đến cuối, không cần người bấm nút giữa chừng</t>
  </si>
  <si>
    <t>Luồng can thiệp chạy hết trong app ví, không cần ai bấm nút giữa chừng.</t>
  </si>
  <si>
    <t>2. Job chạy được ngoài giờ hành chính mà không ai trực</t>
  </si>
  <si>
    <t>Agent chạy 24/7 nhưng đội analyst review ca escalate chưa có ca đêm.</t>
  </si>
  <si>
    <t>3. Khi AI không chắc, nó tự chuyển tiếp đúng chỗ — không cần người phân loại</t>
  </si>
  <si>
    <t>Có ngưỡng risk phân loại trong thiết kế, chưa chứng minh bằng số đo.</t>
  </si>
  <si>
    <t>4. Tỷ lệ ca phải có người can thiệp dưới 20%</t>
  </si>
  <si>
    <t>Ước tính 25% ca phải có người (containment 75%) — vượt ngưỡng 20%.</t>
  </si>
  <si>
    <t>5. Người vận hành chỉ kiểm tra mẫu (QA), không xử lý từng ca</t>
  </si>
  <si>
    <t>Biến thể HITL B: analyst xử lý TỪNG ca escalate, không chỉ QA mẫu.</t>
  </si>
  <si>
    <t>→ ĐIỂM AUTONOMY (tối đa 10)</t>
  </si>
  <si>
    <t>GỢI Ý CỦA MODEL</t>
  </si>
  <si>
    <t>→ Value Metric gợi ý</t>
  </si>
  <si>
    <t>Ngưỡng 7/10 là quy ước của bài tập, không phải chuẩn ngành — dùng để buộc bạn ra quyết định, không phải để thay bạn quyết định.</t>
  </si>
  <si>
    <t>BENCHMARK NGƯỢC — 2 sản phẩm thật cùng loại job</t>
  </si>
  <si>
    <t>Tên sản phẩm</t>
  </si>
  <si>
    <t>Value Metric</t>
  </si>
  <si>
    <t>Giá công bố</t>
  </si>
  <si>
    <t>Link nguồn</t>
  </si>
  <si>
    <t>Stripe Radar / Radar for Fraud Teams</t>
  </si>
  <si>
    <t>Hybrid (phí nền tháng + theo giao dịch được quét)</t>
  </si>
  <si>
    <t>Từ $10/tháng HOẶC $0,05 / giao dịch được quét (pay-as-you-go). Kiểm tra 27/08/2026.</t>
  </si>
  <si>
    <t>https://stripe.com/pricing · https://stripe.com/radar/pricing</t>
  </si>
  <si>
    <t>Intercom Fin</t>
  </si>
  <si>
    <t>Outcome (per resolution)</t>
  </si>
  <si>
    <t>$0,99 / resolution. Không phí setup/tích hợp/nền. Sàn tối thiểu 50 outcome/tháng. Định nghĩa: 'No further help is requested after Fin's last answer'. Kiểm tra 27/08/2026.</t>
  </si>
  <si>
    <t>https://fin.ai/pricing/</t>
  </si>
  <si>
    <t>Loại Zendesk khỏi benchmark: KHÔNG công bố giá trên trang chính thức — mọi con số $1,50/resolution đều là nguồn thứ cấp. Dùng sẽ bị bắt lỗi nguồn.</t>
  </si>
  <si>
    <t>QUYẾT ĐỊNH CUỐI</t>
  </si>
  <si>
    <t>Value Metric tôi chọn</t>
  </si>
  <si>
    <t>Hybrid — phí triển khai một lần + phí nền/tháng + phí theo ca can thiệp hoàn tất</t>
  </si>
  <si>
    <t>Nếu KHÁC gợi ý — lý do thị trường là gì?</t>
  </si>
  <si>
    <t>KHÔNG lệch gợi ý. Model gợi ý 'SEAT hoặc HYBRID' (Attribution 4/10, Autonomy 4/10) — chọn Hybrid, không chọn Seat vì VPay không bán theo số nhân viên của ví; giá trị đến từ số ca xử lý, không từ số người đăng nhập.</t>
  </si>
  <si>
    <t>Decision Note — câu 1: tôi chọn đơn vị nào?</t>
  </si>
  <si>
    <t>Câu 1 — Tôi chọn HYBRID ba lớp: phí triển khai một lần (hiệu chỉnh risk engine trên dữ liệu thật và quy trình vận hành của ví), phí nền hằng tháng (duy trì tích hợp + retune định kỳ), và phí theo ca can thiệp chống lừa đảo HOÀN TẤT. Không bán Outcome thuần vì chưa chứng minh được ca hủy giao dịch là do VPay gây ra.</t>
  </si>
  <si>
    <t>Decision Note — câu 2: bằng chứng Attribution / Autonomy?</t>
  </si>
  <si>
    <t>Câu 2 — Attribution 4/10: có log trạng thái cuối và định nghĩa job chặt, nhưng chưa có kết quả eval chạy thật, chưa có holdout để tách tác động của VPay khỏi yếu tố khác, và khách chưa xác nhận định nghĩa thành công. Autonomy 4/10: agent chạy đầu-cuối 24/7 nhưng ước tính 25% ca phải chuyển analyst (vượt ngưỡng 20%) và biến thể HITL B buộc VPay xử lý từng ca escalate, không chỉ QA mẫu. Hai điểm này đều ở ô góc trái dưới của ma trận Attribution x Autonomy — vùng Seat/Hybrid.</t>
  </si>
  <si>
    <t>Decision Note — câu 3: mô hình này lỗ trong tình huống nào?</t>
  </si>
  <si>
    <t>Câu 3 — Mô hình lỗ khi một chiến dịch lừa đảo mới xuất hiện: số ca gắn cờ tăng đột biến trong khi containment tụt (agent chưa học kịch bản mới), nên tỷ lệ escalate tăng và chi phí analyst của VPay phình theo, còn phí nền thì cố định. Lớp phí theo ca hoàn tất chỉ bù được phần AI tự làm xong, không bù được phần escalate. Chốt chặn: đặt trần số ca escalate VPay chịu mỗi tháng, vượt trần thì chuyển sang Viettel Money hoặc tính phí bổ sung.</t>
  </si>
  <si>
    <t>TAB 4 — CHANNEL FIT &amp; AFFORDABILITY TEST</t>
  </si>
  <si>
    <t>Trạm 4. Chọn ĐÚNG 1 kênh cho 90 ngày đầu — và chứng minh bằng số.</t>
  </si>
  <si>
    <t>A. NGÂN SÁCH CAC — bạn nuôi nổi kênh nào?</t>
  </si>
  <si>
    <t>ARPU / tháng ($)</t>
  </si>
  <si>
    <t>ARPU = phí nền $2.500/tháng + 4.000 ca vượt hạn mức x $1,50 = $6.000. Tổng 5.000 ca/tháng, trong đó 1.000 ca ĐÃ BAO GỒM trong phí nền (hạn mức gói, KHÔNG phải sàn chi tiêu — tính cả hai là tính tiền khách hai lần).</t>
  </si>
  <si>
    <t>Gross Margin (từ tab 2_Pricing)</t>
  </si>
  <si>
    <t>Phân khúc (SMB / Mid / Enterprise)</t>
  </si>
  <si>
    <t>Enterprise</t>
  </si>
  <si>
    <t>Viettel Money là tổ chức viễn thông–tài chính lớn: mua qua hội đồng, có InfoSec review và pha triển khai vài tháng. Không phải SMB.</t>
  </si>
  <si>
    <t>→ CAC payback cho phép (tháng)</t>
  </si>
  <si>
    <t>tháng</t>
  </si>
  <si>
    <t>Bessemer, Scaling to $100M (2024) Truy cập ngày 27/08/2026.</t>
  </si>
  <si>
    <t>★ NGÂN SÁCH CAC / khách</t>
  </si>
  <si>
    <t>ARPU × GM × số tháng payback</t>
  </si>
  <si>
    <t>→ ACV (giá trị hợp đồng / năm)</t>
  </si>
  <si>
    <t>B. SALES VIABILITY — một AE phải chốt bao nhiêu deal?</t>
  </si>
  <si>
    <t>Quota / AE / năm ($)</t>
  </si>
  <si>
    <t>KHÔNG dùng $500.000 của Tunguz (giả định thị trường Mỹ, AE fully-loaded $100k). Tính lại cho VN: AE fully-loaded ~70 triệu ₫/tháng = 840 triệu ₫/năm = $32.300; giữ nguyên tỷ lệ quota/chi phí 5x của Tunguz -&gt; quota $161.500, làm tròn $160.000/năm. Chi phí AE 70 triệu ₫/tháng chốt ngày 27/08/2026 (ước tính nội bộ).</t>
  </si>
  <si>
    <t>Số ngày làm việc / năm</t>
  </si>
  <si>
    <t>ngày</t>
  </si>
  <si>
    <t>→ Số deal / AE / năm</t>
  </si>
  <si>
    <t>★ Số deal / AE / NGÀY</t>
  </si>
  <si>
    <t>deal/ngày</t>
  </si>
  <si>
    <t>→ Kết luận Sales-Led</t>
  </si>
  <si>
    <t>C. ĐỐI CHIẾU CAC THỰC TẾ CỦA MOTION CÓ SALES</t>
  </si>
  <si>
    <t>Cost per opportunity ($)</t>
  </si>
  <si>
    <t>ICONIQ, The State of GTM in 2026 (tr.22) — cost per opportunity phân khúc Enterprise = $11.200 (SMB $6.300 · Mid $8.000). Truy cập ngày 27/08/2026.</t>
  </si>
  <si>
    <t>Win rate</t>
  </si>
  <si>
    <t>Win rate 25% — GIẢ ĐỊNH, chưa có dữ liệu pipeline thật của VPay.</t>
  </si>
  <si>
    <t>→ CAC thực tế ước tính / khách</t>
  </si>
  <si>
    <t>★ Lệch bao nhiêu lần so với ngân sách CAC?</t>
  </si>
  <si>
    <t>Đây là bằng chứng chọn kênh của bạn</t>
  </si>
  <si>
    <t>D. CHẤM ĐIỂM 3 KÊNH (1 = rất kém, 5 = rất tốt)</t>
  </si>
  <si>
    <t>Tiêu chí</t>
  </si>
  <si>
    <t>PLG</t>
  </si>
  <si>
    <t>Sales-Led</t>
  </si>
  <si>
    <t>Partner-Led</t>
  </si>
  <si>
    <t>1. Ngân sách CAC của tôi nuôi nổi kênh này</t>
  </si>
  <si>
    <t>Sales-Led: ngân sách CAC $141.079 vs CAC thực tế $44.800 — dư 3,2 lần. PLG rẻ nhất nhưng không liên quan nếu khách không mua kiểu đó.</t>
  </si>
  <si>
    <t>2. Khách hàng mục tiêu thực sự mua theo cách này</t>
  </si>
  <si>
    <t>Ví điện tử lớn KHÔNG tự đăng ký thẻ mua giải pháp antifraud. Mua qua hội đồng, hợp đồng, InfoSec review. PLG = 1.</t>
  </si>
  <si>
    <t>3. Đội hiện tại có năng lực chạy kênh này ngay</t>
  </si>
  <si>
    <t>VPay chưa có AE. Sales-Led giai đoạn đầu là founder-led selling — làm được nhưng không scale. PLG/Partner cần năng lực chưa có.</t>
  </si>
  <si>
    <t>4. Tôi tiếp cận được điểm nhúng / partner trong 30 ngày</t>
  </si>
  <si>
    <t>CHƯA có đường tiếp cận thực tế: chưa liên hệ Viettel Money lần nào, mọi số liệu đều từ nguồn công bố. Sales-Led vẫn 3 điểm vì tệp khách hữu hạn và tìm được đúng người ra quyết định là khả thi trong 30 ngày. Partner-Led = 2 vì hiện không có platform nào đã có sẵn nhiều ví/ngân hàng làm khách để cắm vào.</t>
  </si>
  <si>
    <t>5. Kênh này đưa tôi đến ĐÚNG Pain Moment</t>
  </si>
  <si>
    <t>Pain Moment nằm trong app ví, tại màn hình chuyển tiền — chỉ tới được qua hợp đồng tích hợp với chủ ví, tức Sales-Led.</t>
  </si>
  <si>
    <t>6. Tôi đo được hiệu quả trong vòng 90 ngày</t>
  </si>
  <si>
    <t>Sales-Led đo được bằng pilot có số. PLG không có gì để đo vì không có ai tự đăng ký.</t>
  </si>
  <si>
    <t>→ TỔNG ĐIỂM</t>
  </si>
  <si>
    <t>→ Kênh điểm cao nhất</t>
  </si>
  <si>
    <t>E. CHỐT KÊNH</t>
  </si>
  <si>
    <t>★ Kênh tôi chọn cho 90 ngày đầu</t>
  </si>
  <si>
    <t>ĐÚNG 1 kênh cho 90 ngày đầu. Founder-led selling, KHÔNG tuyển AE.</t>
  </si>
  <si>
    <t>Nếu Partner-Led: TÊN CÔNG TY partner</t>
  </si>
  <si>
    <t>KHÔNG áp dụng — không chọn Partner-Led. Viettel Money là KHÁCH HÀNG, không phải kênh phân phối: 30 triệu user là quy mô của một khách, không phải tệp khách của một platform. Partner-Led chỉ đúng nếu đi qua bên đã có sẵn nhiều ví/ngân hàng làm khách (ví dụ nhà cung cấp core-banking) — hiện chưa có.</t>
  </si>
  <si>
    <t>'Các nền tảng trong ngành' = chưa có kênh</t>
  </si>
  <si>
    <t>Đã nói chuyện với họ chưa? (Rồi / Chưa)</t>
  </si>
  <si>
    <t>Chưa — chưa liên hệ Viettel Money. Toàn bộ số liệu về Viettel Money (30 triệu user, thị phần ví) lấy từ nguồn công bố, không phải từ trao đổi trực tiếp. Việc tháng 1: đặt cuộc gặp đầu tiên với Head of Risk &amp; Fraud.</t>
  </si>
  <si>
    <t>Bạn mang lại giá trị gì cho partner?</t>
  </si>
  <si>
    <t>KHÔNG áp dụng (Sales-Led). Giá trị mang lại cho KHÁCH, đổi lấy PHÍ NỀN $2.500/tháng — 4 cam kết ghi được vào hợp đồng: (1) SLA phán quyết rủi ro &lt;= 15 phút cho ca escalate, 24/7; (2) hiệu chỉnh lại ngưỡng risk mỗi quý trên dữ liệu và kịch bản lừa đảo mới; (3) hạn mức 1.000 ca/tháng đã bao gồm; (4) dashboard giám sát + báo cáo tháng cho đội Risk.</t>
  </si>
  <si>
    <t>Nếu rơi vào vùng không khả thi — lối thoát nào?</t>
  </si>
  <si>
    <t>KHÔNG rơi vào vùng không khả thi: CAC thực tế $44.800 chỉ bằng 0,32 lần ngân sách CAC $141.079. Rủi ro thật không phải CAC mà là TẬP TRUNG KHÁCH: ACV $102.000 với quota $160.000 nghĩa là 1 AE chỉ cần 1,57 deal/năm — cả công ty sống bằng 1–2 logo. Việc cụ thể 30 ngày: chốt pilot CÓ TRẢ PHÍ với Viettel Money VÀ mở song song 2 cuộc trò chuyện với ví/ngân hàng số khác.</t>
  </si>
  <si>
    <t>Tổng điểm sau khi hạ tiêu chí 4: Sales-Led 24 · Partner-Led 16 · PLG 13. Kết luận không đổi.</t>
  </si>
  <si>
    <t>TAB 5 — PAIN MOMENT · 90-DAY PLAN · EVIDENCE PACK</t>
  </si>
  <si>
    <t>Trạm 5 và Trạm 6.</t>
  </si>
  <si>
    <t>A. PAIN MOMENT — phải đủ 3 phần</t>
  </si>
  <si>
    <t>MẤY GIỜ khách đau nhất?</t>
  </si>
  <si>
    <t>GIẢ THUYẾT cần kiểm chứng: khung giờ hành chính 9h–11h và 14h–16h, ngày thường. Lập luận: kịch bản chủ đạo là mạo danh CÔNG AN / VIỆN KIỂM SÁT / TOÀ ÁN yêu cầu chuyển tiền 'xác minh' — kẻ lừa đảo cần cuộc gọi trông giống giờ làm việc của cơ quan nhà nước thì mới đáng tin. Mùa cao điểm: cận Tết.</t>
  </si>
  <si>
    <t>CÁCH KIỂM CHỨNG TRONG TUẦN 1 PILOT — không cần phỏng vấn: trích histogram theo giờ từ log khiếu nại gian lận mà Viettel Money ĐÃ CÓ SẴN. Đây là dữ liệu sơ cấp, chính xác hơn trí nhớ của nạn nhân. Nguồn kịch bản: congan.ninhbinh.gov.vn/canh-bao-chieu-thuc-lua-dao-danh-cap-tai-khoan-ngan-hang · kenh14.vn/cong-an-canh-bao-nong-thu-doan-lua-dao-moi-nham-vao-cong-nhan-va-nguoi-cao-tuoi-dip-can-tet-2026-21526012011510043.chn</t>
  </si>
  <si>
    <t>Lúc đó họ ĐANG LÀM GÌ?</t>
  </si>
  <si>
    <t>Đang trong một cuộc gọi ĐÃ KÉO DÀI NHIỀU BƯỚC với kẻ mạo danh công an / viện kiểm sát / nhân viên ngân hàng. Kẻ lừa đảo đã đọc đúng thông tin cá nhân thật của nạn nhân (CCCD, địa chỉ, số tài khoản), có thể dùng deepfake giọng nói hoặc hình ảnh, và đã dặn KHÔNG được nói với ai. Nạn nhân vừa nhập số tài khoản do kẻ lừa đảo đọc, ngón tay đang ở nút Xác nhận chuyển tiền.</t>
  </si>
  <si>
    <t>CÓ NGUỒN: 'nhiều người vẫn mất cảnh giác khi cuộc gọi được dựng thành quy trình có nhiều bước với những thông tin cá nhân hoặc sử dụng hình ảnh, giọng nói khiến nạn nhân tin rằng mình đang làm việc với cơ quan hay người quen thực sự' — congan.vinhlong.gov.vn/canh-bao-phuong-thuc-thu-doan-cua-toi-pham/nguoi-cao-tuoi-truoc-ma-tran-lua-dao-tu-tan-nha-den-khong-gian-mang-790.html · vnexpress.net/khoang-trong-khien-nguoi-gia-de-sap-bay-lua-dao-5090033.html</t>
  </si>
  <si>
    <t>Họ đang DÙNG APP / KÊNH NÀO?</t>
  </si>
  <si>
    <t>App Viettel Money — màn hình XÁC NHẬN CHUYỂN TIỀN, trong khi điện thoại đang có cuộc gọi chạy nền. Không phải web, không phải email, không phải tổng đài.</t>
  </si>
  <si>
    <t>→ Điểm nhúng cụ thể của bạn</t>
  </si>
  <si>
    <t>SDK/module của VPay chèn vào ĐÚNG bước xác nhận giao dịch trong app ví: chặn giữa lúc người dùng bấm Xác nhận và lúc lệnh được gửi đi, cộng webhook vào risk decision pipeline của ví. KHÔNG phải app VPay riêng, không phải website — nạn nhân sẽ không mở thứ gì khác trong lúc đang bị kẻ lừa đảo giữ máy.</t>
  </si>
  <si>
    <t>HỆ QUẢ THIẾT KẾ — GIỜ CÓ NGUỒN, KHÔNG CÒN LÀ SUY ĐOÁN: cơ quan công an ghi nhận nạn nhân BIẾT nguyên tắc 'công an không yêu cầu chuyển tiền' mà VẪN chuyển, vì cuộc gọi đã dựng thành quy trình nhiều bước có thông tin cá nhân thật. Nghĩa là một banner cảnh báo tĩnh nhắc lại nguyên tắc đó KHÔNG có tác dụng — nạn nhân đã biết rồi. Can thiệp phải PHÁ KHUNG: buộc trả lời về mục đích giao dịch, đối chiếu với kịch bản đang bị áp dụng, hoặc kích hoạt 'người tin cậy' để đưa một người thứ ba vào — thứ mà kẻ lừa đảo đã cố ngăn bằng lệnh 'không được nói với ai'. Đây là lý do sản phẩm phải là agent hội thoại, không phải rule engine gắn banner.</t>
  </si>
  <si>
    <t>TRẠNG THÁI BẰNG CHỨNG: phần ĐANG LÀM GÌ và bề mặt tích hợp có nguồn thứ cấp từ cơ quan công an (xem cột D). Phần MẤY GIỜ mới là giả thuyết — kiểm chứng bằng log khiếu nại gian lận của ví trong tuần 1 pilot. Phỏng vấn Day 17-18 thuộc sản phẩm khác (hỗ trợ học viên), không dùng được cho VPay.</t>
  </si>
  <si>
    <t>CĂNG THẲNG VỚI PERSONA DAY 24: Day 24 đặt persona 32–55 tuổi. Nguồn công an 2026 nói nhóm bị nhắm nhiều nhất là NGƯỜI CAO TUỔI (&gt;60). Cần mở rộng persona lên 55+ hoặc chứng minh nhóm 32–55 mới là nhóm có số dư lớn trong ví. Quyết định bằng dữ liệu khiếu nại của ví ở tuần 1 pilot, không quyết bằng suy đoán.</t>
  </si>
  <si>
    <t>THÁNG 1 — Học</t>
  </si>
  <si>
    <t>THÁNG 2–3 — Đòn bẩy</t>
  </si>
  <si>
    <t>THÁNG 4+ — Mở rộng</t>
  </si>
  <si>
    <t>Kênh sử dụng</t>
  </si>
  <si>
    <t>Sales-Led (founder-led selling)</t>
  </si>
  <si>
    <t>Sales-Led — cùng kênh, không đổi</t>
  </si>
  <si>
    <t>Sales-Led + tuyển AE đầu tiên NẾU có &gt;=3 opportunity đồng thời</t>
  </si>
  <si>
    <t>Mục tiêu số khách</t>
  </si>
  <si>
    <t>1 khách (Viettel Money), pilot phạm vi hẹp 1 nhóm user</t>
  </si>
  <si>
    <t>1 pilot chuyển thành hợp đồng trả phí + 2 opportunity mới trong pipeline</t>
  </si>
  <si>
    <t>2 khách trả phí (ví/ngân hàng số thứ hai)</t>
  </si>
  <si>
    <t>Việc cụ thể 1</t>
  </si>
  <si>
    <t>Trích log khiếu nại gian lận của Viettel Money (n &gt;= 200 ca) ra histogram theo giờ + phân loại kịch bản, RỒI phỏng vấn sâu 8 nạn nhân + 3 người đội Risk/CSKH để xác thực Pain Moment. Log trước, phỏng vấn sau — log cho biết hỏi ai. Owner: Trang (PM)</t>
  </si>
  <si>
    <t>Pilot 8 tuần trên 1.000.000 giao dịch/tháng, đo tỷ lệ can thiệp thành công và tổn thất tránh được. Owner: Đỗ Tuấn Kiệt (AI Engineer)</t>
  </si>
  <si>
    <t>Dùng Pilot Report làm bằng chứng bán cho khách thứ hai. Owner: Trang (PM)</t>
  </si>
  <si>
    <t>Việc cụ thể 2</t>
  </si>
  <si>
    <t>Chạy bộ eval Day 20-21 trên 300 ca thật đã gắn nhãn -&gt; ra CONTAINMENT THẬT và SỐ PHÚT/CA ANALYST. Owner: Đỗ Tuấn Kiệt (AI Engineer)</t>
  </si>
  <si>
    <t>Viết Pilot Report + Risk Checklist, qua được InfoSec review của Viettel Money. Owner: Trang (PM) + Đỗ Đức Cường (Backend — lưu trữ, xoá dữ liệu, escrow)</t>
  </si>
  <si>
    <t>Chuẩn hoá pha triển khai để rút từ 2 tháng xuống 1 tháng. Owner: Đỗ Đức Cường (Backend — webhook, risk pipeline) + Nguyễn Thanh Hoàn (Frontend — SDK màn hình xác nhận)</t>
  </si>
  <si>
    <t>Việc cụ thể 3</t>
  </si>
  <si>
    <t>Ký thoả thuận pilot CÓ TRẢ PHÍ (pilot miễn phí không chứng minh được khách sẵn sàng trả tiền). Owner: Trang (PM)</t>
  </si>
  <si>
    <t>Mở 2 cuộc trò chuyện với ví/ngân hàng số khác để tránh phụ thuộc 1 logo. Owner: Trang (PM)</t>
  </si>
  <si>
    <t>Đàm phán lại trần số ca escalate VPay chịu, dựa trên số thật đo được. Owner: Trang (PM)</t>
  </si>
  <si>
    <t>KPI đo được</t>
  </si>
  <si>
    <t>Containment đo được với sai số +/-5%; số phút/ca escalate đo được; Pain Moment xác thực bằng HAI nguồn: (a) histogram giờ + kịch bản trích từ log khiếu nại gian lận của ví (n &gt;= 200 ca), (b) &gt;=6/8 nạn nhân phỏng vấn xác nhận đúng cả 3 phần.</t>
  </si>
  <si>
    <t>Containment &gt;= 69% (ngưỡng breakeven); Gross Margin thực tế &gt;= 60%; 2 opportunity mới có tên công ty</t>
  </si>
  <si>
    <t>2 khách trả phí; ARPU &gt;= $8.500/tháng/khách; chi phí triển khai/khách &lt;= $5.000</t>
  </si>
  <si>
    <t>Người chịu trách nhiệm</t>
  </si>
  <si>
    <t>Trang (PM) chịu trách nhiệm chính · Kiệt (AI Eng) phụ trách eval</t>
  </si>
  <si>
    <t>Trang (PM) chịu trách nhiệm chính · Kiệt (AI Eng) chạy pilot · Cường (BE) + Hoàn (FE) tích hợp</t>
  </si>
  <si>
    <t>Trang (PM) + AE đầu tiên</t>
  </si>
  <si>
    <t>Tháng 1 là giai đoạn HỌC, không phải scale. Kế hoạch 'tháng 1 lấy 200 khách ở 5 ngành' là kế hoạch chưa ai từng thử làm.</t>
  </si>
  <si>
    <t>C. EVIDENCE PACK — 3 tài sản bán hàng</t>
  </si>
  <si>
    <t>Tài sản</t>
  </si>
  <si>
    <t>Đã có? (Rồi/Chưa)</t>
  </si>
  <si>
    <t>Nội dung 1 câu — hoặc việc cần làm</t>
  </si>
  <si>
    <t>Người phụ trách · Deadline</t>
  </si>
  <si>
    <t>1. Eval Results (Day 21–22)</t>
  </si>
  <si>
    <t>CHƯA</t>
  </si>
  <si>
    <t>Chạy bộ eval đã thiết kế ở Day 20-21 trên 300 ca can thiệp thật đã gắn nhãn. Ra 2 con số: containment thật (mô hình hiện giả định 75%, breakeven 69,3% — biên độ chỉ 5,7 điểm) và số phút analyst/ca escalate (giả định 8 phút; nếu là 16 phút thì breakeven nhảy lên 81,4% và mô hình GÃY).</t>
  </si>
  <si>
    <t>Đỗ Tuấn Kiệt (AI Engineer, 2A202601335) · deadline 26/09/2026</t>
  </si>
  <si>
    <t>2. Risk Checklist (Day 24)</t>
  </si>
  <si>
    <t>3 câu trả lời bằng văn bản cho Procurement/IT: (1) agent hallucinate thì sao — nêu tỷ lệ sai từ eval, cơ chế fallback sang analyst, và cam kết KHÔNG tự động chặn giao dịch mà không có phán quyết; (2) dữ liệu giao dịch của ví có bị dùng train model không — không, chỉ suy luận, không fine-tune trên dữ liệu khách, nêu rõ vùng lưu trữ và thời hạn xoá; (3) VPay ngừng hoạt động thì sao — điều khoản escrow mã nguồn + quy trình bàn giao ngưỡng risk và log cho ví trong 30 ngày.</t>
  </si>
  <si>
    <t>Lương Thanh Trang (PM) + Đỗ Đức Cường (Backend, 2A202601455) · deadline 31/10/2026</t>
  </si>
  <si>
    <t>3. Pilot Report</t>
  </si>
  <si>
    <t>Mẫu kết quả cần điền sau pilot: '8 tuần, __ ca can thiệp, tỷ lệ hoàn tất __%, số vụ chuyển tiền bị hủy __, tổn thất ước tính tránh được __ tỷ ₫, chi phí VPay __ $/ca.' Đây là tài sản bán hàng quan trọng nhất cho khách thứ hai.</t>
  </si>
  <si>
    <t>Lương Thanh Trang (PM) + Đỗ Tuấn Kiệt (AI Engineer) · deadline 30/11/2026</t>
  </si>
  <si>
    <t>Ô nào CHƯA CÓ thì ghi deadline — đừng bỏ trống. Thành thật về khoảng trống được điểm cao hơn bịa nội dung.</t>
  </si>
  <si>
    <t>D. BÀI TEST NGƯỜI LẠ — nhóm khác đọc One-Pager trong 2 phút</t>
  </si>
  <si>
    <t>Họ trả lời được: bán gì, cho ai, tính tiền theo đơn vị nào? (Được/Không)</t>
  </si>
  <si>
    <t>Được</t>
  </si>
  <si>
    <t>Người đọc nêu đúng: giải pháp AI can thiệp chống lừa đảo giao dịch cho ví điện tử · khách là Head of Risk &amp; Fraud / COO của ví (Viettel Money) · Hybrid: phí nền $2.500/tháng đã gồm 1.000 ca + SLA + dashboard, cộng $1,50/ca can thiệp hoàn tất.</t>
  </si>
  <si>
    <t>Đã chạy 27/08/2026 với một người chưa biết gì về dự án. Trả lời đúng cả 3 câu, không sai chi tiết nào.</t>
  </si>
  <si>
    <t>Họ trả lời được: có lãi trên mỗi đơn vị không, số nào chứng minh? (Được/Không)</t>
  </si>
  <si>
    <t>Người đọc nêu đúng: Cost/Job $0,4626 · giá bán $1,50 · Gross Margin 69,2% · giá sàn $1,39 = 3x chi phí.</t>
  </si>
  <si>
    <t>Họ trả lời được: tiếp cận khách qua đâu, vì sao kênh đó? (Được/Không)</t>
  </si>
  <si>
    <t>Người đọc nêu đúng: Sales-Led, founder-led, không tuyển AE. Lý do: tệp Enterprise ít khách nhưng ACV lớn (1,57 deal/năm/AE); chấm điểm 24 vs 16 vs 13; ngân sách CAC $141.079 vs CAC thực tế $44.800, dư 3,2 lần.</t>
  </si>
  <si>
    <t>Số câu họ phải hỏi lại (mục tiêu ≤ 3)</t>
  </si>
  <si>
    <t>Người đọc trả lời đúng cả 3 câu mà không hỏi lại lần nào. Mục tiêu &lt;= 3, đạt.</t>
  </si>
  <si>
    <t>TAB 6 — BENCHMARKS (CHỈ ĐỌC)</t>
  </si>
  <si>
    <t>Giá chốt ngày 26/08/2026. Dòng có ⏳ là GIÁ KHUYẾN MẠI CÓ HẠN — phải kiểm tra lại.</t>
  </si>
  <si>
    <t>NGÀY BẠN KIỂM TRA LẠI GIÁ</t>
  </si>
  <si>
    <t>27/08/2026</t>
  </si>
  <si>
    <t>Đã tự mở trang giá nhà cung cấp và đối chiếu — xem các dòng bổ sung bên dưới</t>
  </si>
  <si>
    <t>Nhóm</t>
  </si>
  <si>
    <t>Mục</t>
  </si>
  <si>
    <t>Giá</t>
  </si>
  <si>
    <t>Đơn vị</t>
  </si>
  <si>
    <t>Nguồn</t>
  </si>
  <si>
    <t>Claude Opus 5 — input / output</t>
  </si>
  <si>
    <t>5,00 / 25,00</t>
  </si>
  <si>
    <t>$ / 1M token</t>
  </si>
  <si>
    <t>platform.claude.com/docs/en/about-claude/pricing</t>
  </si>
  <si>
    <t>Claude Sonnet 5 — input / output</t>
  </si>
  <si>
    <t>2,00 / 10,00</t>
  </si>
  <si>
    <t>Claude Haiku 4.5 — input / output</t>
  </si>
  <si>
    <t>1,00 / 5,00</t>
  </si>
  <si>
    <t>Claude — cache write 5' / cache read</t>
  </si>
  <si>
    <t>1,25× / 0,10× input</t>
  </si>
  <si>
    <t>hệ số</t>
  </si>
  <si>
    <t>⏳ OpenAI GPT-5.6 Sol — input / output</t>
  </si>
  <si>
    <t>4,00 / 20,00</t>
  </si>
  <si>
    <t>developers.openai.com/api/docs/pricing (KM 21/08–21/11/2026; list 5,00/30,00)</t>
  </si>
  <si>
    <t>OpenAI GPT-5.6 Luna — input / output</t>
  </si>
  <si>
    <t>0,20 / 1,20</t>
  </si>
  <si>
    <t>developers.openai.com/api/docs/pricing</t>
  </si>
  <si>
    <t>OpenAI — cached input / Batch API</t>
  </si>
  <si>
    <t>10% input / −50%</t>
  </si>
  <si>
    <t>Gemini 3.1 Pro — input / output (≤200k)</t>
  </si>
  <si>
    <t>2,00 / 12,00</t>
  </si>
  <si>
    <t>ai.google.dev/gemini-api/docs/pricing</t>
  </si>
  <si>
    <t>⏳ Gemini 3.7 Flash — input / output</t>
  </si>
  <si>
    <t>0,75 / 3,75</t>
  </si>
  <si>
    <t>ai.google.dev/gemini-api/docs/pricing (KM đến 31/12/2026; sau đó 1,50/7,50)</t>
  </si>
  <si>
    <t>STT</t>
  </si>
  <si>
    <t>Deepgram Nova-3 — pre-recorded</t>
  </si>
  <si>
    <t>0,0043</t>
  </si>
  <si>
    <t>$ / phút</t>
  </si>
  <si>
    <t>deepgram.com/pricing</t>
  </si>
  <si>
    <t>⏳ Deepgram Nova-3 — streaming</t>
  </si>
  <si>
    <t>list 0,0077 · KM 0,0048</t>
  </si>
  <si>
    <t>deepgram.com/pricing — đang khuyến mại, kiểm tra lại</t>
  </si>
  <si>
    <t>AssemblyAI Universal-2 — async</t>
  </si>
  <si>
    <t>0,0025</t>
  </si>
  <si>
    <t>assemblyai.com/pricing</t>
  </si>
  <si>
    <t>OpenAI gpt-4o-mini-transcribe</t>
  </si>
  <si>
    <t>0,0030</t>
  </si>
  <si>
    <t>TTS</t>
  </si>
  <si>
    <t>Google Cloud TTS — Standard</t>
  </si>
  <si>
    <t>4,00</t>
  </si>
  <si>
    <t>$ / 1M ký tự</t>
  </si>
  <si>
    <t>cloud.google.com/text-to-speech/pricing (rẻ nhất)</t>
  </si>
  <si>
    <t>OpenAI tts-1</t>
  </si>
  <si>
    <t>15,00</t>
  </si>
  <si>
    <t>ElevenLabs Flash / Turbo</t>
  </si>
  <si>
    <t>50,00</t>
  </si>
  <si>
    <t>elevenlabs.io/pricing/api</t>
  </si>
  <si>
    <t>ElevenLabs v3 / v2 Multilingual</t>
  </si>
  <si>
    <t>100,00</t>
  </si>
  <si>
    <t>Quy đổi</t>
  </si>
  <si>
    <t>Tốc độ nói</t>
  </si>
  <si>
    <t>≈ 900</t>
  </si>
  <si>
    <t>ký tự / phút</t>
  </si>
  <si>
    <t>≈150 từ/phút — dùng để đổi phút ↔ ký tự</t>
  </si>
  <si>
    <t>Lưu ý</t>
  </si>
  <si>
    <t>Google TTS — ký tự CJK</t>
  </si>
  <si>
    <t>tính là 1 ký tự</t>
  </si>
  <si>
    <t>—</t>
  </si>
  <si>
    <t>cloud.google.com/text-to-speech/pricing (KHÔNG phải ×2)</t>
  </si>
  <si>
    <t>Google STT — tính theo kênh</t>
  </si>
  <si>
    <t>4 kênh × 120s = 480s</t>
  </si>
  <si>
    <t>cloud.google.com/speech-to-text/pricing</t>
  </si>
  <si>
    <t>Streaming vs async STT</t>
  </si>
  <si>
    <t>1× đến ~5×</t>
  </si>
  <si>
    <t>Tuỳ nhà cung cấp — AssemblyAI 1,0× · Google ~5×. Đừng dùng hệ số chung</t>
  </si>
  <si>
    <t>Sản phẩm</t>
  </si>
  <si>
    <t>Intercom Fin — resolution</t>
  </si>
  <si>
    <t>0,99</t>
  </si>
  <si>
    <t>$ / outcome</t>
  </si>
  <si>
    <t>fin.ai/pricing</t>
  </si>
  <si>
    <t>Intercom Fin — qualification (sales)</t>
  </si>
  <si>
    <t>9,99</t>
  </si>
  <si>
    <t>Zendesk — automated resolution</t>
  </si>
  <si>
    <t>1,50</t>
  </si>
  <si>
    <t>$ / resolution</t>
  </si>
  <si>
    <t>zendesk.com/blog/ai/agentic-ai/outcome-based-pricing/ (blog, không trên trang giá)</t>
  </si>
  <si>
    <t>Salesforce Agentforce — Flex Credit</t>
  </si>
  <si>
    <t>0,005 (action = 0,10)</t>
  </si>
  <si>
    <t>$ / credit</t>
  </si>
  <si>
    <t>salesforce.com/agentforce/pricing</t>
  </si>
  <si>
    <t>Salesforce Agentforce — conversation</t>
  </si>
  <si>
    <t>2,00</t>
  </si>
  <si>
    <t>$ / conversation</t>
  </si>
  <si>
    <t>GitHub Copilot — AI Credit</t>
  </si>
  <si>
    <t>0,01</t>
  </si>
  <si>
    <t>docs.github.com/en/copilot/get-started/plans</t>
  </si>
  <si>
    <t>GitHub Copilot Business / Enterprise</t>
  </si>
  <si>
    <t>19 / 39</t>
  </si>
  <si>
    <t>$ / seat / tháng</t>
  </si>
  <si>
    <t>Notion — Business / credits</t>
  </si>
  <si>
    <t>20 / 10 per 1.000</t>
  </si>
  <si>
    <t>$ / member / tháng</t>
  </si>
  <si>
    <t>notion.com/pricing</t>
  </si>
  <si>
    <t>Benchmark</t>
  </si>
  <si>
    <t>Gross Margin AI-native 2026E</t>
  </si>
  <si>
    <t>≈ 53%</t>
  </si>
  <si>
    <t>%</t>
  </si>
  <si>
    <t>ICONIQ, 2026 State of AI: The Builder's Economy (07/2026)</t>
  </si>
  <si>
    <t>Gross Margin cloud (middle 50%)</t>
  </si>
  <si>
    <t>60 – 80%</t>
  </si>
  <si>
    <t>Bessemer, Scaling to $100 Million (2024)</t>
  </si>
  <si>
    <t>Gemini 3.5 Flash-Lite — input / output  [MODEL VPay DÙNG]</t>
  </si>
  <si>
    <t>0,30 / 2,50</t>
  </si>
  <si>
    <t>ai.google.dev/gemini-api/docs/pricing — kiểm tra 27/08/2026. KHÔNG có ngày hết hạn = không phải giá khuyến mại.</t>
  </si>
  <si>
    <t>Gemini 3.5 Flash-Lite — context caching</t>
  </si>
  <si>
    <t>0,03</t>
  </si>
  <si>
    <t>ai.google.dev/gemini-api/docs/pricing — kiểm tra 27/08/2026 (= 0,1x input)</t>
  </si>
  <si>
    <t>Gemini 3.5 Flash-Lite — cache storage</t>
  </si>
  <si>
    <t>1,00</t>
  </si>
  <si>
    <t>$ / 1M token / giờ</t>
  </si>
  <si>
    <t>ai.google.dev/gemini-api/docs/pricing — kiểm tra 27/08/2026. Khoản Day 24 bỏ sót, đã đưa vào S5 Infra.</t>
  </si>
  <si>
    <t>Kiểm tra 27/08/2026: KM đến 31/12/2026, từ 01/01/2027 về 1,50/7,50. VPay KHÔNG dùng để tránh rủi ro giá.</t>
  </si>
  <si>
    <t>Claude Haiku 4.5 — input / output / cache read</t>
  </si>
  <si>
    <t>1,00 / 5,00 / 0,10</t>
  </si>
  <si>
    <t>platform.claude.com/docs/en/about-claude/pricing — kiểm tra 27/08/2026, khớp giá gốc trong template</t>
  </si>
  <si>
    <t>Stripe Radar — pay as you go</t>
  </si>
  <si>
    <t>0,05</t>
  </si>
  <si>
    <t>$ / giao dịch được quét</t>
  </si>
  <si>
    <t>stripe.com/pricing — kiểm tra 27/08/2026. Hybrid: hoặc từ $10/tháng. BENCHMARK CÙNG NGÀNH.</t>
  </si>
  <si>
    <t>fin.ai/pricing — kiểm tra 27/08/2026. Không phí setup/nền, sàn tối thiểu 50 outcome/tháng.</t>
  </si>
  <si>
    <t>Bối cảnh</t>
  </si>
  <si>
    <t>Thiệt hại lừa đảo trực tuyến VN 2025</t>
  </si>
  <si>
    <t>8.000 tỷ ₫</t>
  </si>
  <si>
    <t>₫ / năm</t>
  </si>
  <si>
    <t>Bộ Công an — vov.vn/phap-luat/thiet-hai-tu-lua-dao-truc-tuyen-len-toi-8000-ty-dong-trong-nam-2025-post1286479.vov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</si>
</sst>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
    <numFmt numFmtId="166" formatCode="\$#,##0.0000"/>
    <numFmt numFmtId="167" formatCode="#,##0.0"/>
    <numFmt numFmtId="168" formatCode="#,##0&quot; ₫&quot;"/>
    <numFmt numFmtId="169" formatCode="\$#,##0"/>
    <numFmt numFmtId="170" formatCode="#,##0.0\×"/>
  </numFmts>
  <fonts count="10" x14ac:knownFonts="1">
    <font>
      <sz val="11"/>
      <color theme="1"/>
      <name val="Calibri"/>
      <family val="2"/>
      <charset val="1"/>
    </font>
    <font>
      <b/>
      <sz val="14"/>
      <color rgb="FFFFFFFF"/>
      <name val="Arial"/>
      <charset val="1"/>
    </font>
    <font>
      <i/>
      <sz val="9"/>
      <color rgb="FF666666"/>
      <name val="Arial"/>
      <charset val="1"/>
    </font>
    <font>
      <b/>
      <sz val="11"/>
      <color rgb="FF1F2937"/>
      <name val="Arial"/>
      <charset val="1"/>
    </font>
    <font>
      <sz val="10"/>
      <color rgb="FF0000FF"/>
      <name val="Arial"/>
      <charset val="1"/>
    </font>
    <font>
      <sz val="10"/>
      <name val="Arial"/>
      <charset val="1"/>
    </font>
    <font>
      <sz val="10"/>
      <color rgb="FF008000"/>
      <name val="Arial"/>
      <charset val="1"/>
    </font>
    <font>
      <b/>
      <sz val="10"/>
      <name val="Arial"/>
      <charset val="1"/>
    </font>
    <font>
      <b/>
      <sz val="11"/>
      <color rgb="FFC00000"/>
      <name val="Arial"/>
      <charset val="1"/>
    </font>
    <font>
      <b/>
      <sz val="10"/>
      <color rgb="FFFFFFFF"/>
      <name val="Arial"/>
      <charset val="1"/>
    </font>
  </fonts>
  <fills count="7">
    <fill>
      <patternFill patternType="none"/>
    </fill>
    <fill>
      <patternFill patternType="gray125"/>
    </fill>
    <fill>
      <patternFill patternType="solid">
        <fgColor rgb="FF1F2937"/>
        <bgColor rgb="FF333300"/>
      </patternFill>
    </fill>
    <fill>
      <patternFill patternType="solid">
        <fgColor rgb="FFFFF2CC"/>
        <bgColor rgb="FFF2F2F2"/>
      </patternFill>
    </fill>
    <fill>
      <patternFill patternType="solid">
        <fgColor rgb="FFF2F2F2"/>
        <bgColor rgb="FFEDEDED"/>
      </patternFill>
    </fill>
    <fill>
      <patternFill patternType="solid">
        <fgColor rgb="FFEDEDED"/>
        <bgColor rgb="FFE8EAF6"/>
      </patternFill>
    </fill>
    <fill>
      <patternFill patternType="solid">
        <fgColor rgb="FFE8EAF6"/>
        <bgColor rgb="FFEDEDED"/>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43">
    <xf numFmtId="0" fontId="0" fillId="0" borderId="0" xfId="0"/>
    <xf numFmtId="0" fontId="1" fillId="2" borderId="0" xfId="0" applyFont="1" applyFill="1"/>
    <xf numFmtId="0" fontId="0" fillId="2" borderId="0" xfId="0" applyFill="1"/>
    <xf numFmtId="0" fontId="2" fillId="0" borderId="0" xfId="0" applyFont="1"/>
    <xf numFmtId="0" fontId="3" fillId="0" borderId="0" xfId="0" applyFont="1"/>
    <xf numFmtId="0" fontId="4" fillId="3" borderId="1" xfId="0" applyFont="1" applyFill="1" applyBorder="1"/>
    <xf numFmtId="0" fontId="5" fillId="0" borderId="0" xfId="0" applyFont="1"/>
    <xf numFmtId="0" fontId="5" fillId="4" borderId="1" xfId="0" applyFont="1" applyFill="1" applyBorder="1"/>
    <xf numFmtId="0" fontId="6" fillId="0" borderId="1" xfId="0" applyFont="1" applyBorder="1"/>
    <xf numFmtId="0" fontId="5" fillId="5" borderId="1" xfId="0" applyFont="1" applyFill="1" applyBorder="1"/>
    <xf numFmtId="0" fontId="7" fillId="0" borderId="0" xfId="0" applyFont="1"/>
    <xf numFmtId="0" fontId="3" fillId="6" borderId="0" xfId="0" applyFont="1" applyFill="1"/>
    <xf numFmtId="0" fontId="0" fillId="6" borderId="0" xfId="0" applyFill="1"/>
    <xf numFmtId="0" fontId="4" fillId="3" borderId="1" xfId="0" applyFont="1" applyFill="1" applyBorder="1" applyAlignment="1">
      <alignment horizontal="center"/>
    </xf>
    <xf numFmtId="3" fontId="4" fillId="3" borderId="1" xfId="0" applyNumberFormat="1" applyFont="1" applyFill="1" applyBorder="1"/>
    <xf numFmtId="164" fontId="4" fillId="3" borderId="1" xfId="0" applyNumberFormat="1" applyFont="1" applyFill="1" applyBorder="1"/>
    <xf numFmtId="3" fontId="5" fillId="4" borderId="1" xfId="0" applyNumberFormat="1" applyFont="1" applyFill="1" applyBorder="1"/>
    <xf numFmtId="165" fontId="4" fillId="3" borderId="1" xfId="0" applyNumberFormat="1" applyFont="1" applyFill="1" applyBorder="1"/>
    <xf numFmtId="166" fontId="5" fillId="4" borderId="1" xfId="0" applyNumberFormat="1" applyFont="1" applyFill="1" applyBorder="1"/>
    <xf numFmtId="166" fontId="8" fillId="4" borderId="1" xfId="0" applyNumberFormat="1" applyFont="1" applyFill="1" applyBorder="1"/>
    <xf numFmtId="164" fontId="5" fillId="4" borderId="1" xfId="0" applyNumberFormat="1" applyFont="1" applyFill="1" applyBorder="1"/>
    <xf numFmtId="166" fontId="4" fillId="3" borderId="1" xfId="0" applyNumberFormat="1" applyFont="1" applyFill="1" applyBorder="1"/>
    <xf numFmtId="167" fontId="4" fillId="3" borderId="1" xfId="0" applyNumberFormat="1" applyFont="1" applyFill="1" applyBorder="1"/>
    <xf numFmtId="165" fontId="5" fillId="4" borderId="1" xfId="0" applyNumberFormat="1" applyFont="1" applyFill="1" applyBorder="1"/>
    <xf numFmtId="165" fontId="8" fillId="4" borderId="1" xfId="0" applyNumberFormat="1" applyFont="1" applyFill="1" applyBorder="1"/>
    <xf numFmtId="168" fontId="5" fillId="4" borderId="1" xfId="0" applyNumberFormat="1" applyFont="1" applyFill="1" applyBorder="1"/>
    <xf numFmtId="166" fontId="6" fillId="4" borderId="1" xfId="0" applyNumberFormat="1" applyFont="1" applyFill="1" applyBorder="1"/>
    <xf numFmtId="169" fontId="4" fillId="3" borderId="1" xfId="0" applyNumberFormat="1" applyFont="1" applyFill="1" applyBorder="1"/>
    <xf numFmtId="170" fontId="5" fillId="4" borderId="1" xfId="0" applyNumberFormat="1" applyFont="1" applyFill="1" applyBorder="1"/>
    <xf numFmtId="164" fontId="8" fillId="4" borderId="1" xfId="0" applyNumberFormat="1" applyFont="1" applyFill="1" applyBorder="1"/>
    <xf numFmtId="164" fontId="6" fillId="4" borderId="1" xfId="0" applyNumberFormat="1" applyFont="1" applyFill="1" applyBorder="1"/>
    <xf numFmtId="0" fontId="7" fillId="5" borderId="1" xfId="0" applyFont="1" applyFill="1" applyBorder="1"/>
    <xf numFmtId="164" fontId="5" fillId="5" borderId="1" xfId="0" applyNumberFormat="1" applyFont="1" applyFill="1" applyBorder="1"/>
    <xf numFmtId="3" fontId="8" fillId="4" borderId="1" xfId="0" applyNumberFormat="1" applyFont="1" applyFill="1" applyBorder="1"/>
    <xf numFmtId="0" fontId="8" fillId="4" borderId="1" xfId="0" applyFont="1" applyFill="1" applyBorder="1"/>
    <xf numFmtId="169" fontId="8" fillId="4" borderId="1" xfId="0" applyNumberFormat="1" applyFont="1" applyFill="1" applyBorder="1"/>
    <xf numFmtId="169" fontId="5" fillId="4" borderId="1" xfId="0" applyNumberFormat="1" applyFont="1" applyFill="1" applyBorder="1"/>
    <xf numFmtId="4" fontId="8" fillId="4" borderId="1" xfId="0" applyNumberFormat="1" applyFont="1" applyFill="1" applyBorder="1"/>
    <xf numFmtId="170" fontId="8" fillId="4" borderId="1" xfId="0" applyNumberFormat="1" applyFont="1" applyFill="1" applyBorder="1"/>
    <xf numFmtId="0" fontId="4" fillId="3" borderId="1" xfId="0" applyFont="1" applyFill="1" applyBorder="1" applyAlignment="1">
      <alignment vertical="top" wrapText="1"/>
    </xf>
    <xf numFmtId="0" fontId="9" fillId="2" borderId="1" xfId="0" applyFont="1" applyFill="1" applyBorder="1"/>
    <xf numFmtId="0" fontId="5" fillId="5" borderId="1" xfId="0" applyFont="1" applyFill="1" applyBorder="1" applyAlignment="1">
      <alignment vertical="top"/>
    </xf>
    <xf numFmtId="0" fontId="2" fillId="5"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8EAF6"/>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F2F2F2"/>
      <rgbColor rgb="FFEDEDED"/>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
  <sheetViews>
    <sheetView tabSelected="1" zoomScaleNormal="100" workbookViewId="0"/>
  </sheetViews>
  <sheetFormatPr defaultColWidth="8.6328125" defaultRowHeight="14.5" x14ac:dyDescent="0.35"/>
  <cols>
    <col min="1" max="1" width="52" customWidth="1"/>
    <col min="2" max="2" width="62" customWidth="1"/>
    <col min="3" max="8" width="15" customWidth="1"/>
  </cols>
  <sheetData>
    <row r="1" spans="1:8" ht="24" customHeight="1" x14ac:dyDescent="0.4">
      <c r="A1" s="1" t="s">
        <v>0</v>
      </c>
      <c r="B1" s="2"/>
      <c r="C1" s="2"/>
      <c r="D1" s="2"/>
      <c r="E1" s="2"/>
      <c r="F1" s="2"/>
      <c r="G1" s="2"/>
      <c r="H1" s="2"/>
    </row>
    <row r="2" spans="1:8" ht="15" customHeight="1" x14ac:dyDescent="0.35">
      <c r="A2" s="3" t="s">
        <v>1</v>
      </c>
    </row>
    <row r="4" spans="1:8" ht="15" customHeight="1" x14ac:dyDescent="0.35">
      <c r="A4" s="4" t="s">
        <v>2</v>
      </c>
    </row>
    <row r="5" spans="1:8" ht="15" customHeight="1" x14ac:dyDescent="0.35">
      <c r="A5" s="5" t="s">
        <v>3</v>
      </c>
      <c r="B5" s="6" t="s">
        <v>4</v>
      </c>
    </row>
    <row r="6" spans="1:8" ht="15" customHeight="1" x14ac:dyDescent="0.35">
      <c r="A6" s="7" t="s">
        <v>5</v>
      </c>
      <c r="B6" s="6" t="s">
        <v>6</v>
      </c>
    </row>
    <row r="7" spans="1:8" ht="15" customHeight="1" x14ac:dyDescent="0.35">
      <c r="A7" s="8" t="s">
        <v>7</v>
      </c>
      <c r="B7" s="6" t="s">
        <v>8</v>
      </c>
    </row>
    <row r="8" spans="1:8" ht="15" customHeight="1" x14ac:dyDescent="0.35">
      <c r="A8" s="9" t="s">
        <v>9</v>
      </c>
      <c r="B8" s="6" t="s">
        <v>10</v>
      </c>
    </row>
    <row r="10" spans="1:8" ht="15" customHeight="1" x14ac:dyDescent="0.35">
      <c r="A10" s="4" t="s">
        <v>11</v>
      </c>
    </row>
    <row r="11" spans="1:8" ht="15" customHeight="1" x14ac:dyDescent="0.35">
      <c r="A11" s="10" t="s">
        <v>12</v>
      </c>
      <c r="B11" s="6" t="s">
        <v>13</v>
      </c>
    </row>
    <row r="12" spans="1:8" ht="15" customHeight="1" x14ac:dyDescent="0.35">
      <c r="A12" s="10" t="s">
        <v>14</v>
      </c>
      <c r="B12" s="6" t="s">
        <v>15</v>
      </c>
    </row>
    <row r="13" spans="1:8" ht="15" customHeight="1" x14ac:dyDescent="0.35">
      <c r="A13" s="10" t="s">
        <v>16</v>
      </c>
      <c r="B13" s="6" t="s">
        <v>17</v>
      </c>
    </row>
    <row r="14" spans="1:8" ht="15" customHeight="1" x14ac:dyDescent="0.35">
      <c r="A14" s="10" t="s">
        <v>18</v>
      </c>
      <c r="B14" s="6" t="s">
        <v>19</v>
      </c>
    </row>
    <row r="15" spans="1:8" ht="15" customHeight="1" x14ac:dyDescent="0.35">
      <c r="A15" s="10" t="s">
        <v>20</v>
      </c>
      <c r="B15" s="6" t="s">
        <v>21</v>
      </c>
    </row>
    <row r="16" spans="1:8" ht="15" customHeight="1" x14ac:dyDescent="0.35">
      <c r="A16" s="10" t="s">
        <v>22</v>
      </c>
      <c r="B16" s="6" t="s">
        <v>23</v>
      </c>
    </row>
    <row r="18" spans="1:3" ht="15" customHeight="1" x14ac:dyDescent="0.35">
      <c r="A18" s="4" t="s">
        <v>24</v>
      </c>
    </row>
    <row r="19" spans="1:3" ht="15" customHeight="1" x14ac:dyDescent="0.35">
      <c r="A19" s="6" t="s">
        <v>25</v>
      </c>
    </row>
    <row r="20" spans="1:3" ht="15" customHeight="1" x14ac:dyDescent="0.35">
      <c r="A20" s="6" t="s">
        <v>26</v>
      </c>
    </row>
    <row r="21" spans="1:3" ht="15" customHeight="1" x14ac:dyDescent="0.35">
      <c r="A21" s="6" t="s">
        <v>27</v>
      </c>
    </row>
    <row r="23" spans="1:3" ht="15" customHeight="1" x14ac:dyDescent="0.35">
      <c r="A23" s="3" t="s">
        <v>28</v>
      </c>
    </row>
    <row r="24" spans="1:3" ht="15" customHeight="1" x14ac:dyDescent="0.35">
      <c r="A24" s="3" t="s">
        <v>29</v>
      </c>
    </row>
    <row r="26" spans="1:3" x14ac:dyDescent="0.35">
      <c r="A26" t="s">
        <v>30</v>
      </c>
    </row>
    <row r="27" spans="1:3" x14ac:dyDescent="0.35">
      <c r="A27" t="s">
        <v>31</v>
      </c>
      <c r="B27" t="s">
        <v>32</v>
      </c>
      <c r="C27" t="s">
        <v>33</v>
      </c>
    </row>
    <row r="28" spans="1:3" x14ac:dyDescent="0.35">
      <c r="A28" t="s">
        <v>34</v>
      </c>
      <c r="B28" t="s">
        <v>35</v>
      </c>
      <c r="C28" t="s">
        <v>36</v>
      </c>
    </row>
    <row r="29" spans="1:3" x14ac:dyDescent="0.35">
      <c r="A29" t="s">
        <v>37</v>
      </c>
      <c r="B29" t="s">
        <v>38</v>
      </c>
      <c r="C29" t="s">
        <v>39</v>
      </c>
    </row>
    <row r="30" spans="1:3" x14ac:dyDescent="0.35">
      <c r="A30" t="s">
        <v>40</v>
      </c>
      <c r="B30" t="s">
        <v>41</v>
      </c>
      <c r="C30" t="s">
        <v>42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8"/>
  <sheetViews>
    <sheetView zoomScaleNormal="100" workbookViewId="0"/>
  </sheetViews>
  <sheetFormatPr defaultColWidth="8.6328125" defaultRowHeight="14.5" x14ac:dyDescent="0.35"/>
  <cols>
    <col min="1" max="1" width="46" customWidth="1"/>
    <col min="2" max="3" width="16" customWidth="1"/>
    <col min="4" max="4" width="52" customWidth="1"/>
    <col min="5" max="8" width="15" customWidth="1"/>
  </cols>
  <sheetData>
    <row r="1" spans="1:8" ht="24" customHeight="1" x14ac:dyDescent="0.4">
      <c r="A1" s="1" t="s">
        <v>43</v>
      </c>
      <c r="B1" s="2"/>
      <c r="C1" s="2"/>
      <c r="D1" s="2"/>
      <c r="E1" s="2"/>
      <c r="F1" s="2"/>
      <c r="G1" s="2"/>
      <c r="H1" s="2"/>
    </row>
    <row r="2" spans="1:8" ht="15" customHeight="1" x14ac:dyDescent="0.35">
      <c r="A2" s="3" t="s">
        <v>44</v>
      </c>
    </row>
    <row r="4" spans="1:8" ht="15" customHeight="1" x14ac:dyDescent="0.35">
      <c r="A4" s="11" t="s">
        <v>45</v>
      </c>
      <c r="B4" s="12"/>
      <c r="C4" s="12"/>
      <c r="D4" s="12"/>
      <c r="E4" s="12"/>
      <c r="F4" s="12"/>
      <c r="G4" s="12"/>
      <c r="H4" s="12"/>
    </row>
    <row r="5" spans="1:8" ht="15" customHeight="1" x14ac:dyDescent="0.35">
      <c r="A5" s="6" t="s">
        <v>46</v>
      </c>
      <c r="B5" s="5" t="s">
        <v>47</v>
      </c>
      <c r="D5" s="3" t="s">
        <v>48</v>
      </c>
    </row>
    <row r="6" spans="1:8" ht="15" customHeight="1" x14ac:dyDescent="0.35">
      <c r="A6" s="6" t="s">
        <v>49</v>
      </c>
      <c r="B6" s="13" t="s">
        <v>50</v>
      </c>
      <c r="D6" s="3" t="s">
        <v>51</v>
      </c>
    </row>
    <row r="8" spans="1:8" ht="15" customHeight="1" x14ac:dyDescent="0.35">
      <c r="A8" s="11" t="s">
        <v>52</v>
      </c>
      <c r="B8" s="12"/>
      <c r="C8" s="12"/>
      <c r="D8" s="12"/>
      <c r="E8" s="12"/>
      <c r="F8" s="12"/>
      <c r="G8" s="12"/>
      <c r="H8" s="12"/>
    </row>
    <row r="9" spans="1:8" ht="15" customHeight="1" x14ac:dyDescent="0.35">
      <c r="A9" s="6" t="s">
        <v>53</v>
      </c>
      <c r="B9" s="14">
        <v>5000</v>
      </c>
      <c r="C9" s="3" t="s">
        <v>54</v>
      </c>
      <c r="D9" t="s">
        <v>55</v>
      </c>
    </row>
    <row r="10" spans="1:8" ht="15" customHeight="1" x14ac:dyDescent="0.35">
      <c r="A10" s="6" t="s">
        <v>56</v>
      </c>
      <c r="B10" s="15">
        <v>0.75</v>
      </c>
      <c r="D10" s="3" t="s">
        <v>57</v>
      </c>
    </row>
    <row r="11" spans="1:8" ht="15" customHeight="1" x14ac:dyDescent="0.35">
      <c r="A11" s="6" t="s">
        <v>58</v>
      </c>
      <c r="B11" s="16">
        <f>B9*B10</f>
        <v>3750</v>
      </c>
      <c r="C11" s="3" t="s">
        <v>54</v>
      </c>
      <c r="D11" s="3" t="s">
        <v>59</v>
      </c>
    </row>
    <row r="12" spans="1:8" ht="15" customHeight="1" x14ac:dyDescent="0.35">
      <c r="A12" s="6" t="s">
        <v>60</v>
      </c>
      <c r="B12" s="16">
        <f>B9-B11</f>
        <v>1250</v>
      </c>
      <c r="C12" s="3" t="s">
        <v>54</v>
      </c>
      <c r="D12" s="3" t="s">
        <v>61</v>
      </c>
    </row>
    <row r="14" spans="1:8" ht="15" customHeight="1" x14ac:dyDescent="0.35">
      <c r="A14" s="11" t="s">
        <v>62</v>
      </c>
      <c r="B14" s="12"/>
      <c r="C14" s="12"/>
      <c r="D14" s="12"/>
      <c r="E14" s="12"/>
      <c r="F14" s="12"/>
      <c r="G14" s="12"/>
      <c r="H14" s="12"/>
    </row>
    <row r="15" spans="1:8" ht="15" customHeight="1" x14ac:dyDescent="0.35">
      <c r="A15" s="6" t="s">
        <v>63</v>
      </c>
      <c r="B15" s="17">
        <v>0.3</v>
      </c>
      <c r="D15" s="3" t="s">
        <v>64</v>
      </c>
    </row>
    <row r="16" spans="1:8" ht="15" customHeight="1" x14ac:dyDescent="0.35">
      <c r="A16" s="6" t="s">
        <v>65</v>
      </c>
      <c r="B16" s="17">
        <v>2.5</v>
      </c>
      <c r="D16" t="s">
        <v>66</v>
      </c>
    </row>
    <row r="17" spans="1:4" ht="15" customHeight="1" x14ac:dyDescent="0.35">
      <c r="A17" s="6" t="s">
        <v>67</v>
      </c>
      <c r="B17" s="17">
        <v>0.3</v>
      </c>
      <c r="D17" s="3" t="s">
        <v>68</v>
      </c>
    </row>
    <row r="18" spans="1:4" ht="15" customHeight="1" x14ac:dyDescent="0.35">
      <c r="A18" s="6" t="s">
        <v>69</v>
      </c>
      <c r="B18" s="17">
        <v>0.03</v>
      </c>
      <c r="D18" s="3" t="s">
        <v>70</v>
      </c>
    </row>
    <row r="19" spans="1:4" ht="15" customHeight="1" x14ac:dyDescent="0.35">
      <c r="A19" s="6" t="s">
        <v>71</v>
      </c>
      <c r="B19" s="14">
        <v>8</v>
      </c>
      <c r="C19" s="3" t="s">
        <v>72</v>
      </c>
      <c r="D19" t="s">
        <v>73</v>
      </c>
    </row>
    <row r="20" spans="1:4" ht="15" customHeight="1" x14ac:dyDescent="0.35">
      <c r="A20" s="6" t="s">
        <v>74</v>
      </c>
      <c r="B20" s="14">
        <v>2500</v>
      </c>
      <c r="C20" s="3" t="s">
        <v>75</v>
      </c>
      <c r="D20" s="3" t="s">
        <v>76</v>
      </c>
    </row>
    <row r="21" spans="1:4" ht="15" customHeight="1" x14ac:dyDescent="0.35">
      <c r="A21" s="6" t="s">
        <v>77</v>
      </c>
      <c r="B21" s="14">
        <v>1200</v>
      </c>
      <c r="C21" s="3" t="s">
        <v>75</v>
      </c>
      <c r="D21" s="3" t="s">
        <v>78</v>
      </c>
    </row>
    <row r="22" spans="1:4" ht="15" customHeight="1" x14ac:dyDescent="0.35">
      <c r="A22" s="6" t="s">
        <v>79</v>
      </c>
      <c r="B22" s="14">
        <v>500</v>
      </c>
      <c r="C22" s="3" t="s">
        <v>75</v>
      </c>
      <c r="D22" t="s">
        <v>80</v>
      </c>
    </row>
    <row r="23" spans="1:4" ht="15" customHeight="1" x14ac:dyDescent="0.35">
      <c r="A23" s="6" t="s">
        <v>81</v>
      </c>
      <c r="B23" s="18">
        <f>B20*B17/1000000</f>
        <v>7.5000000000000002E-4</v>
      </c>
    </row>
    <row r="24" spans="1:4" ht="15" customHeight="1" x14ac:dyDescent="0.35">
      <c r="A24" s="6" t="s">
        <v>82</v>
      </c>
      <c r="B24" s="18">
        <f>(B19-1)*B20*B18/1000000</f>
        <v>5.2499999999999997E-4</v>
      </c>
    </row>
    <row r="25" spans="1:4" ht="15" customHeight="1" x14ac:dyDescent="0.35">
      <c r="A25" s="6" t="s">
        <v>83</v>
      </c>
      <c r="B25" s="18">
        <f>B19*B21*B15/1000000</f>
        <v>2.8800000000000002E-3</v>
      </c>
    </row>
    <row r="26" spans="1:4" ht="15" customHeight="1" x14ac:dyDescent="0.35">
      <c r="A26" s="6" t="s">
        <v>84</v>
      </c>
      <c r="B26" s="18">
        <f>B19*B22*B16/1000000</f>
        <v>0.01</v>
      </c>
    </row>
    <row r="27" spans="1:4" ht="15" customHeight="1" x14ac:dyDescent="0.35">
      <c r="A27" s="10" t="s">
        <v>85</v>
      </c>
      <c r="B27" s="19">
        <f>SUM(B23:B26)</f>
        <v>1.4155000000000001E-2</v>
      </c>
    </row>
    <row r="28" spans="1:4" ht="15" customHeight="1" x14ac:dyDescent="0.35">
      <c r="A28" s="6" t="s">
        <v>86</v>
      </c>
      <c r="B28" s="18">
        <f>B19*(B20+B21)*B15/1000000+B26</f>
        <v>1.8880000000000001E-2</v>
      </c>
    </row>
    <row r="29" spans="1:4" ht="15" customHeight="1" x14ac:dyDescent="0.35">
      <c r="A29" s="6" t="s">
        <v>87</v>
      </c>
      <c r="B29" s="20">
        <f>IF(B28=0,0,1-B27/B28)</f>
        <v>0.25026483050847459</v>
      </c>
      <c r="D29" s="3" t="s">
        <v>88</v>
      </c>
    </row>
    <row r="30" spans="1:4" ht="15" customHeight="1" x14ac:dyDescent="0.35">
      <c r="A30" s="6" t="s">
        <v>89</v>
      </c>
      <c r="B30" s="14">
        <v>0</v>
      </c>
      <c r="D30" s="3" t="s">
        <v>90</v>
      </c>
    </row>
    <row r="31" spans="1:4" ht="15" customHeight="1" x14ac:dyDescent="0.35">
      <c r="A31" s="10" t="s">
        <v>91</v>
      </c>
      <c r="B31" s="19">
        <f>B27*(1-B30*0.5)</f>
        <v>1.4155000000000001E-2</v>
      </c>
    </row>
    <row r="33" spans="1:8" ht="15" customHeight="1" x14ac:dyDescent="0.35">
      <c r="A33" s="11" t="s">
        <v>92</v>
      </c>
      <c r="B33" s="12"/>
      <c r="C33" s="12"/>
      <c r="D33" s="12"/>
      <c r="E33" s="12"/>
      <c r="F33" s="12"/>
      <c r="G33" s="12"/>
      <c r="H33" s="12"/>
    </row>
    <row r="34" spans="1:8" ht="15" customHeight="1" x14ac:dyDescent="0.35">
      <c r="A34" s="6" t="s">
        <v>93</v>
      </c>
      <c r="B34" s="21">
        <v>0</v>
      </c>
      <c r="D34" s="3" t="s">
        <v>94</v>
      </c>
    </row>
    <row r="35" spans="1:8" ht="15" customHeight="1" x14ac:dyDescent="0.35">
      <c r="A35" s="6" t="s">
        <v>95</v>
      </c>
      <c r="B35" s="22">
        <v>0</v>
      </c>
      <c r="C35" s="3" t="s">
        <v>96</v>
      </c>
    </row>
    <row r="36" spans="1:8" ht="15" customHeight="1" x14ac:dyDescent="0.35">
      <c r="A36" s="6" t="s">
        <v>97</v>
      </c>
      <c r="B36" s="17">
        <v>0</v>
      </c>
      <c r="D36" s="3" t="s">
        <v>98</v>
      </c>
    </row>
    <row r="37" spans="1:8" ht="15" customHeight="1" x14ac:dyDescent="0.35">
      <c r="A37" s="6" t="s">
        <v>99</v>
      </c>
      <c r="B37" s="14">
        <v>0</v>
      </c>
      <c r="C37" s="3" t="s">
        <v>100</v>
      </c>
      <c r="D37" s="3" t="s">
        <v>101</v>
      </c>
    </row>
    <row r="38" spans="1:8" ht="15" customHeight="1" x14ac:dyDescent="0.35">
      <c r="A38" s="6" t="s">
        <v>102</v>
      </c>
      <c r="B38" s="18">
        <f>B34*B35+B36*B37/1000000</f>
        <v>0</v>
      </c>
    </row>
    <row r="40" spans="1:8" ht="15" customHeight="1" x14ac:dyDescent="0.35">
      <c r="A40" s="11" t="s">
        <v>103</v>
      </c>
      <c r="B40" s="12"/>
      <c r="C40" s="12"/>
      <c r="D40" s="12"/>
      <c r="E40" s="12"/>
      <c r="F40" s="12"/>
      <c r="G40" s="12"/>
      <c r="H40" s="12"/>
    </row>
    <row r="41" spans="1:8" ht="15" customHeight="1" x14ac:dyDescent="0.35">
      <c r="A41" s="6" t="s">
        <v>104</v>
      </c>
      <c r="B41" s="21">
        <v>9.1999999999999998E-3</v>
      </c>
      <c r="D41" s="3" t="s">
        <v>105</v>
      </c>
    </row>
    <row r="42" spans="1:8" ht="15" customHeight="1" x14ac:dyDescent="0.35">
      <c r="A42" s="6" t="s">
        <v>106</v>
      </c>
      <c r="B42" s="21">
        <v>0</v>
      </c>
      <c r="D42" t="s">
        <v>107</v>
      </c>
    </row>
    <row r="43" spans="1:8" ht="15" customHeight="1" x14ac:dyDescent="0.35">
      <c r="A43" s="6" t="s">
        <v>108</v>
      </c>
      <c r="B43" s="18">
        <f>B41+B42*B35</f>
        <v>9.1999999999999998E-3</v>
      </c>
    </row>
    <row r="45" spans="1:8" ht="15" customHeight="1" x14ac:dyDescent="0.35">
      <c r="A45" s="11" t="s">
        <v>109</v>
      </c>
      <c r="B45" s="12"/>
      <c r="C45" s="12"/>
      <c r="D45" s="12"/>
      <c r="E45" s="12"/>
      <c r="F45" s="12"/>
      <c r="G45" s="12"/>
      <c r="H45" s="12"/>
    </row>
    <row r="46" spans="1:8" ht="15" customHeight="1" x14ac:dyDescent="0.35">
      <c r="A46" s="6" t="s">
        <v>110</v>
      </c>
      <c r="B46" s="15">
        <v>0.08</v>
      </c>
      <c r="D46" s="3" t="s">
        <v>111</v>
      </c>
    </row>
    <row r="47" spans="1:8" ht="15" customHeight="1" x14ac:dyDescent="0.35">
      <c r="A47" s="6" t="s">
        <v>112</v>
      </c>
      <c r="B47" s="18">
        <f>(B31+B38)*B46</f>
        <v>1.1324000000000002E-3</v>
      </c>
    </row>
    <row r="49" spans="1:8" ht="15" customHeight="1" x14ac:dyDescent="0.35">
      <c r="A49" s="11" t="s">
        <v>113</v>
      </c>
      <c r="B49" s="12"/>
      <c r="C49" s="12"/>
      <c r="D49" s="12"/>
      <c r="E49" s="12"/>
      <c r="F49" s="12"/>
      <c r="G49" s="12"/>
      <c r="H49" s="12"/>
    </row>
    <row r="50" spans="1:8" ht="15" customHeight="1" x14ac:dyDescent="0.35">
      <c r="A50" s="6" t="s">
        <v>114</v>
      </c>
      <c r="B50" s="17">
        <v>9</v>
      </c>
      <c r="D50" s="3" t="s">
        <v>115</v>
      </c>
    </row>
    <row r="51" spans="1:8" ht="15" customHeight="1" x14ac:dyDescent="0.35">
      <c r="A51" s="6" t="s">
        <v>116</v>
      </c>
      <c r="B51" s="15">
        <v>0.05</v>
      </c>
      <c r="D51" s="3" t="s">
        <v>117</v>
      </c>
    </row>
    <row r="52" spans="1:8" ht="15" customHeight="1" x14ac:dyDescent="0.35">
      <c r="A52" s="6" t="s">
        <v>118</v>
      </c>
      <c r="B52" s="22">
        <v>3</v>
      </c>
      <c r="C52" s="3" t="s">
        <v>96</v>
      </c>
      <c r="D52" t="s">
        <v>119</v>
      </c>
    </row>
    <row r="53" spans="1:8" ht="15" customHeight="1" x14ac:dyDescent="0.35">
      <c r="A53" s="6" t="s">
        <v>120</v>
      </c>
      <c r="B53" s="22">
        <v>8</v>
      </c>
      <c r="C53" s="3" t="s">
        <v>96</v>
      </c>
      <c r="D53" t="s">
        <v>121</v>
      </c>
    </row>
    <row r="54" spans="1:8" ht="15" customHeight="1" x14ac:dyDescent="0.35">
      <c r="A54" s="6" t="s">
        <v>122</v>
      </c>
      <c r="B54" s="23">
        <f>B9*B51*(B52/60)*B50</f>
        <v>112.5</v>
      </c>
    </row>
    <row r="55" spans="1:8" ht="15" customHeight="1" x14ac:dyDescent="0.35">
      <c r="A55" s="6" t="s">
        <v>123</v>
      </c>
      <c r="B55" s="23">
        <f>IF(B6="B",B12*(B53/60)*B50,0)</f>
        <v>1500</v>
      </c>
      <c r="D55" s="3" t="s">
        <v>124</v>
      </c>
    </row>
    <row r="56" spans="1:8" ht="15" customHeight="1" x14ac:dyDescent="0.35">
      <c r="A56" s="10" t="s">
        <v>125</v>
      </c>
      <c r="B56" s="24">
        <f>B54+B55</f>
        <v>1612.5</v>
      </c>
    </row>
    <row r="58" spans="1:8" ht="15" customHeight="1" x14ac:dyDescent="0.35">
      <c r="A58" s="11" t="s">
        <v>126</v>
      </c>
      <c r="B58" s="12"/>
      <c r="C58" s="12"/>
      <c r="D58" s="12"/>
      <c r="E58" s="12"/>
      <c r="F58" s="12"/>
      <c r="G58" s="12"/>
      <c r="H58" s="12"/>
    </row>
    <row r="59" spans="1:8" ht="15" customHeight="1" x14ac:dyDescent="0.35">
      <c r="A59" s="6" t="s">
        <v>127</v>
      </c>
      <c r="B59" s="17">
        <v>3107</v>
      </c>
      <c r="D59" s="3" t="s">
        <v>128</v>
      </c>
    </row>
    <row r="61" spans="1:8" ht="15" customHeight="1" x14ac:dyDescent="0.35">
      <c r="A61" s="11" t="s">
        <v>129</v>
      </c>
      <c r="B61" s="12"/>
      <c r="C61" s="12"/>
      <c r="D61" s="12"/>
      <c r="E61" s="12"/>
      <c r="F61" s="12"/>
      <c r="G61" s="12"/>
      <c r="H61" s="12"/>
    </row>
    <row r="62" spans="1:8" ht="15" customHeight="1" x14ac:dyDescent="0.35">
      <c r="A62" s="6" t="s">
        <v>130</v>
      </c>
      <c r="B62" s="23">
        <f>B9*(B31+B38+B43+B47)</f>
        <v>122.437</v>
      </c>
    </row>
    <row r="63" spans="1:8" ht="15" customHeight="1" x14ac:dyDescent="0.35">
      <c r="A63" s="6" t="s">
        <v>131</v>
      </c>
      <c r="B63" s="23">
        <f>B56</f>
        <v>1612.5</v>
      </c>
    </row>
    <row r="64" spans="1:8" ht="15" customHeight="1" x14ac:dyDescent="0.35">
      <c r="A64" s="6" t="s">
        <v>132</v>
      </c>
      <c r="B64" s="23">
        <f>B59</f>
        <v>3107</v>
      </c>
    </row>
    <row r="65" spans="1:8" ht="15" customHeight="1" x14ac:dyDescent="0.35">
      <c r="A65" s="6" t="s">
        <v>133</v>
      </c>
      <c r="B65" s="23">
        <f>B62+B63+B64</f>
        <v>4841.9369999999999</v>
      </c>
    </row>
    <row r="66" spans="1:8" ht="15" customHeight="1" x14ac:dyDescent="0.35">
      <c r="A66" s="10" t="s">
        <v>134</v>
      </c>
      <c r="B66" s="19">
        <f>IF(B11=0,0,(B62+B63)/B11)</f>
        <v>0.46264986666666663</v>
      </c>
      <c r="C66" s="3" t="s">
        <v>135</v>
      </c>
      <c r="D66" s="3" t="s">
        <v>136</v>
      </c>
    </row>
    <row r="67" spans="1:8" ht="15" customHeight="1" x14ac:dyDescent="0.35">
      <c r="A67" s="10" t="s">
        <v>137</v>
      </c>
      <c r="B67" s="19">
        <f>IF(B11=0,0,B65/B11)</f>
        <v>1.2911831999999999</v>
      </c>
      <c r="C67" s="3" t="s">
        <v>135</v>
      </c>
    </row>
    <row r="68" spans="1:8" ht="15" customHeight="1" x14ac:dyDescent="0.35">
      <c r="A68" s="6" t="s">
        <v>138</v>
      </c>
      <c r="B68" s="14">
        <v>26000</v>
      </c>
      <c r="C68" s="3" t="s">
        <v>139</v>
      </c>
      <c r="D68" s="3" t="s">
        <v>140</v>
      </c>
    </row>
    <row r="69" spans="1:8" ht="15" customHeight="1" x14ac:dyDescent="0.35">
      <c r="A69" s="6" t="s">
        <v>141</v>
      </c>
      <c r="B69" s="25">
        <f>B66*B68</f>
        <v>12028.896533333333</v>
      </c>
      <c r="C69" s="3" t="s">
        <v>142</v>
      </c>
    </row>
    <row r="71" spans="1:8" ht="15" customHeight="1" x14ac:dyDescent="0.35">
      <c r="A71" s="11" t="s">
        <v>143</v>
      </c>
      <c r="B71" s="12"/>
      <c r="C71" s="12"/>
      <c r="D71" s="12"/>
      <c r="E71" s="12"/>
      <c r="F71" s="12"/>
      <c r="G71" s="12"/>
      <c r="H71" s="12"/>
    </row>
    <row r="72" spans="1:8" ht="15" customHeight="1" x14ac:dyDescent="0.35">
      <c r="A72" s="6" t="s">
        <v>144</v>
      </c>
      <c r="B72" s="23">
        <f>B9*B31</f>
        <v>70.775000000000006</v>
      </c>
      <c r="C72" s="20">
        <f t="shared" ref="C72:C77" si="0">IF($B$65=0,0,B72/$B$65)</f>
        <v>1.4617084030626587E-2</v>
      </c>
    </row>
    <row r="73" spans="1:8" ht="15" customHeight="1" x14ac:dyDescent="0.35">
      <c r="A73" s="6" t="s">
        <v>145</v>
      </c>
      <c r="B73" s="23">
        <f>B9*B38</f>
        <v>0</v>
      </c>
      <c r="C73" s="20">
        <f t="shared" si="0"/>
        <v>0</v>
      </c>
    </row>
    <row r="74" spans="1:8" ht="15" customHeight="1" x14ac:dyDescent="0.35">
      <c r="A74" s="6" t="s">
        <v>146</v>
      </c>
      <c r="B74" s="23">
        <f>B9*B43</f>
        <v>46</v>
      </c>
      <c r="C74" s="20">
        <f t="shared" si="0"/>
        <v>9.5003301364722428E-3</v>
      </c>
    </row>
    <row r="75" spans="1:8" ht="15" customHeight="1" x14ac:dyDescent="0.35">
      <c r="A75" s="6" t="s">
        <v>147</v>
      </c>
      <c r="B75" s="23">
        <f>B9*B47</f>
        <v>5.6620000000000008</v>
      </c>
      <c r="C75" s="20">
        <f t="shared" si="0"/>
        <v>1.1693667224501271E-3</v>
      </c>
    </row>
    <row r="76" spans="1:8" ht="15" customHeight="1" x14ac:dyDescent="0.35">
      <c r="A76" s="6" t="s">
        <v>148</v>
      </c>
      <c r="B76" s="23">
        <f>B56</f>
        <v>1612.5</v>
      </c>
      <c r="C76" s="20">
        <f t="shared" si="0"/>
        <v>0.33302787706655418</v>
      </c>
    </row>
    <row r="77" spans="1:8" ht="15" customHeight="1" x14ac:dyDescent="0.35">
      <c r="A77" s="6" t="s">
        <v>149</v>
      </c>
      <c r="B77" s="23">
        <f>B59</f>
        <v>3107</v>
      </c>
      <c r="C77" s="20">
        <f t="shared" si="0"/>
        <v>0.64168534204389693</v>
      </c>
    </row>
    <row r="78" spans="1:8" ht="15" customHeight="1" x14ac:dyDescent="0.35">
      <c r="A78" s="3" t="s">
        <v>150</v>
      </c>
    </row>
  </sheetData>
  <dataValidations count="1">
    <dataValidation type="list" sqref="B6" xr:uid="{00000000-0002-0000-0100-000000000000}">
      <formula1>"A,B"</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8"/>
  <sheetViews>
    <sheetView zoomScaleNormal="100" workbookViewId="0"/>
  </sheetViews>
  <sheetFormatPr defaultColWidth="8.6328125" defaultRowHeight="14.5" x14ac:dyDescent="0.35"/>
  <cols>
    <col min="1" max="1" width="46" customWidth="1"/>
    <col min="2" max="3" width="16" customWidth="1"/>
    <col min="4" max="4" width="54" customWidth="1"/>
    <col min="5" max="8" width="15" customWidth="1"/>
  </cols>
  <sheetData>
    <row r="1" spans="1:8" ht="24" customHeight="1" x14ac:dyDescent="0.4">
      <c r="A1" s="1" t="s">
        <v>151</v>
      </c>
      <c r="B1" s="2"/>
      <c r="C1" s="2"/>
      <c r="D1" s="2"/>
      <c r="E1" s="2"/>
      <c r="F1" s="2"/>
      <c r="G1" s="2"/>
      <c r="H1" s="2"/>
    </row>
    <row r="2" spans="1:8" ht="15" customHeight="1" x14ac:dyDescent="0.35">
      <c r="A2" s="3" t="s">
        <v>152</v>
      </c>
    </row>
    <row r="4" spans="1:8" ht="15" customHeight="1" x14ac:dyDescent="0.35">
      <c r="A4" s="11" t="s">
        <v>153</v>
      </c>
      <c r="B4" s="12"/>
      <c r="C4" s="12"/>
      <c r="D4" s="12"/>
      <c r="E4" s="12"/>
      <c r="F4" s="12"/>
      <c r="G4" s="12"/>
      <c r="H4" s="12"/>
    </row>
    <row r="5" spans="1:8" ht="15" customHeight="1" x14ac:dyDescent="0.35">
      <c r="A5" s="6" t="s">
        <v>154</v>
      </c>
      <c r="B5" s="26">
        <f>'1_Cost_Job'!B66</f>
        <v>0.46264986666666663</v>
      </c>
      <c r="C5" s="3" t="s">
        <v>135</v>
      </c>
    </row>
    <row r="6" spans="1:8" ht="15" customHeight="1" x14ac:dyDescent="0.35">
      <c r="A6" s="6" t="s">
        <v>155</v>
      </c>
      <c r="B6" s="22">
        <v>3</v>
      </c>
      <c r="C6" s="3" t="s">
        <v>156</v>
      </c>
      <c r="D6" s="3" t="s">
        <v>157</v>
      </c>
    </row>
    <row r="7" spans="1:8" ht="15" customHeight="1" x14ac:dyDescent="0.35">
      <c r="A7" s="10" t="s">
        <v>158</v>
      </c>
      <c r="B7" s="19">
        <f>B5*B6</f>
        <v>1.3879495999999998</v>
      </c>
      <c r="C7" s="3" t="s">
        <v>135</v>
      </c>
    </row>
    <row r="9" spans="1:8" ht="15" customHeight="1" x14ac:dyDescent="0.35">
      <c r="A9" s="11" t="s">
        <v>159</v>
      </c>
      <c r="B9" s="12"/>
      <c r="C9" s="12"/>
      <c r="D9" s="12"/>
      <c r="E9" s="12"/>
      <c r="F9" s="12"/>
      <c r="G9" s="12"/>
      <c r="H9" s="12"/>
    </row>
    <row r="10" spans="1:8" ht="15" customHeight="1" x14ac:dyDescent="0.35">
      <c r="A10" s="6" t="s">
        <v>160</v>
      </c>
      <c r="B10" s="27">
        <v>96000</v>
      </c>
      <c r="D10" s="3" t="s">
        <v>161</v>
      </c>
    </row>
    <row r="11" spans="1:8" ht="15" customHeight="1" x14ac:dyDescent="0.35">
      <c r="A11" s="6" t="s">
        <v>162</v>
      </c>
      <c r="B11" s="14">
        <v>5000</v>
      </c>
      <c r="C11" s="3" t="s">
        <v>54</v>
      </c>
    </row>
    <row r="12" spans="1:8" ht="15" customHeight="1" x14ac:dyDescent="0.35">
      <c r="A12" s="6" t="s">
        <v>163</v>
      </c>
      <c r="B12" s="18">
        <f>IF(B11=0,0,B10*0.1/B11)</f>
        <v>1.92</v>
      </c>
      <c r="C12" s="3" t="s">
        <v>135</v>
      </c>
    </row>
    <row r="13" spans="1:8" ht="15" customHeight="1" x14ac:dyDescent="0.35">
      <c r="A13" s="6" t="s">
        <v>164</v>
      </c>
      <c r="B13" s="18">
        <f>IF(B11=0,0,B10*0.25/B11)</f>
        <v>4.8</v>
      </c>
      <c r="C13" s="3" t="s">
        <v>135</v>
      </c>
    </row>
    <row r="14" spans="1:8" ht="15" customHeight="1" x14ac:dyDescent="0.35">
      <c r="A14" s="6" t="s">
        <v>165</v>
      </c>
      <c r="B14" s="27">
        <v>9231</v>
      </c>
      <c r="D14" s="3" t="s">
        <v>166</v>
      </c>
    </row>
    <row r="15" spans="1:8" ht="15" customHeight="1" x14ac:dyDescent="0.35">
      <c r="A15" s="6" t="s">
        <v>167</v>
      </c>
      <c r="B15" s="18">
        <f>IF(B11=0,0,B14*0.5/B11)</f>
        <v>0.92310000000000003</v>
      </c>
      <c r="C15" s="3" t="s">
        <v>135</v>
      </c>
    </row>
    <row r="16" spans="1:8" ht="15" customHeight="1" x14ac:dyDescent="0.35">
      <c r="A16" s="6" t="s">
        <v>168</v>
      </c>
      <c r="B16" s="18">
        <f>IF(B11=0,0,B14*0.7/B11)</f>
        <v>1.29234</v>
      </c>
      <c r="C16" s="3" t="s">
        <v>135</v>
      </c>
    </row>
    <row r="18" spans="1:8" ht="15" customHeight="1" x14ac:dyDescent="0.35">
      <c r="A18" s="11" t="s">
        <v>169</v>
      </c>
      <c r="B18" s="12"/>
      <c r="C18" s="12"/>
      <c r="D18" s="12"/>
      <c r="E18" s="12"/>
      <c r="F18" s="12"/>
      <c r="G18" s="12"/>
      <c r="H18" s="12"/>
    </row>
    <row r="19" spans="1:8" ht="15" customHeight="1" x14ac:dyDescent="0.35">
      <c r="A19" s="6" t="s">
        <v>170</v>
      </c>
      <c r="B19" s="21">
        <v>1.5</v>
      </c>
      <c r="C19" s="3" t="s">
        <v>135</v>
      </c>
      <c r="D19" s="3" t="s">
        <v>171</v>
      </c>
    </row>
    <row r="20" spans="1:8" ht="15" customHeight="1" x14ac:dyDescent="0.35">
      <c r="A20" s="6" t="s">
        <v>172</v>
      </c>
      <c r="B20" s="28">
        <f>IF(B5=0,0,B19/B5)</f>
        <v>3.2421926559869325</v>
      </c>
    </row>
    <row r="21" spans="1:8" ht="15" customHeight="1" x14ac:dyDescent="0.35">
      <c r="A21" s="10" t="s">
        <v>173</v>
      </c>
      <c r="B21" s="29">
        <f>IF(B19=0,0,(B19-B5)/B19)</f>
        <v>0.69156675555555547</v>
      </c>
    </row>
    <row r="22" spans="1:8" ht="15" customHeight="1" x14ac:dyDescent="0.35">
      <c r="A22" s="6" t="s">
        <v>174</v>
      </c>
      <c r="B22" s="7" t="str">
        <f>IF(B20&gt;=B6,"OK — ĐẠT","KHÔNG ĐẠT — quay lại tab 1")</f>
        <v>OK — ĐẠT</v>
      </c>
    </row>
    <row r="23" spans="1:8" ht="15" customHeight="1" x14ac:dyDescent="0.35">
      <c r="A23" s="6" t="s">
        <v>175</v>
      </c>
      <c r="B23" s="7" t="str">
        <f>IF(B21&gt;=0.6,"OK — AN TOÀN (≥60%)",IF(B21&gt;=0.5,"CẢNH BÁO (50–60%)","NGUY HIỂM (&lt;50%)"))</f>
        <v>OK — AN TOÀN (≥60%)</v>
      </c>
    </row>
    <row r="24" spans="1:8" ht="15" customHeight="1" x14ac:dyDescent="0.35">
      <c r="A24" s="6" t="s">
        <v>176</v>
      </c>
      <c r="B24" s="7" t="str">
        <f>IF(B21&gt;0.85,"NGHI NGỜ — nhiều khả năng bạn quên một khoản chi phí","OK")</f>
        <v>OK</v>
      </c>
    </row>
    <row r="25" spans="1:8" ht="15" customHeight="1" x14ac:dyDescent="0.35">
      <c r="A25" s="6" t="s">
        <v>177</v>
      </c>
      <c r="B25" s="7" t="str">
        <f>IF(AND(B19&gt;=B7,B19&lt;=MAX(B13,B16)),"OK — trong vùng giá bán","XEM LẠI — ngoài vùng giá sàn/trần")</f>
        <v>OK — trong vùng giá bán</v>
      </c>
    </row>
    <row r="27" spans="1:8" ht="15" customHeight="1" x14ac:dyDescent="0.35">
      <c r="A27" s="11" t="s">
        <v>178</v>
      </c>
      <c r="B27" s="12"/>
      <c r="C27" s="12"/>
      <c r="D27" s="12"/>
      <c r="E27" s="12"/>
      <c r="F27" s="12"/>
      <c r="G27" s="12"/>
      <c r="H27" s="12"/>
    </row>
    <row r="28" spans="1:8" ht="15" customHeight="1" x14ac:dyDescent="0.35">
      <c r="A28" s="3" t="s">
        <v>179</v>
      </c>
    </row>
    <row r="29" spans="1:8" ht="15" customHeight="1" x14ac:dyDescent="0.35">
      <c r="A29" s="6" t="s">
        <v>180</v>
      </c>
      <c r="B29" s="26">
        <f>'1_Cost_Job'!B31+'1_Cost_Job'!B38+'1_Cost_Job'!B43+'1_Cost_Job'!B47</f>
        <v>2.4487399999999999E-2</v>
      </c>
    </row>
    <row r="30" spans="1:8" ht="15" customHeight="1" x14ac:dyDescent="0.35">
      <c r="A30" s="6" t="s">
        <v>181</v>
      </c>
      <c r="B30" s="26">
        <f>'1_Cost_Job'!B51*('1_Cost_Job'!B52/60)*'1_Cost_Job'!B50</f>
        <v>2.2500000000000006E-2</v>
      </c>
    </row>
    <row r="31" spans="1:8" ht="15" customHeight="1" x14ac:dyDescent="0.35">
      <c r="A31" s="6" t="s">
        <v>182</v>
      </c>
      <c r="B31" s="26">
        <f>IF('1_Cost_Job'!B6="B",('1_Cost_Job'!B53/60)*'1_Cost_Job'!B50,0)</f>
        <v>1.2</v>
      </c>
    </row>
    <row r="32" spans="1:8" ht="15" customHeight="1" x14ac:dyDescent="0.35">
      <c r="A32" s="6" t="s">
        <v>183</v>
      </c>
      <c r="B32" s="15">
        <v>0.6</v>
      </c>
    </row>
    <row r="33" spans="1:8" ht="15" customHeight="1" x14ac:dyDescent="0.35">
      <c r="A33" s="10" t="s">
        <v>184</v>
      </c>
      <c r="B33" s="29">
        <f>IF((B19*(1-B32)+B31)=0,0,(B29+B30+B31)/(B19*(1-B32)+B31))</f>
        <v>0.69277077777777774</v>
      </c>
      <c r="D33" s="3" t="s">
        <v>185</v>
      </c>
    </row>
    <row r="34" spans="1:8" ht="15" customHeight="1" x14ac:dyDescent="0.35">
      <c r="A34" s="6" t="s">
        <v>186</v>
      </c>
      <c r="B34" s="30">
        <f>'1_Cost_Job'!B10</f>
        <v>0.75</v>
      </c>
    </row>
    <row r="35" spans="1:8" ht="15" customHeight="1" x14ac:dyDescent="0.35">
      <c r="A35" s="6" t="s">
        <v>187</v>
      </c>
      <c r="B35" s="7" t="str">
        <f>IF(B34&gt;=B33,"ĐẠT — mô hình có lãi lành mạnh","CHƯA ĐẠT — phải tăng containment, tăng giá, hoặc đổi biến thể HITL")</f>
        <v>ĐẠT — mô hình có lãi lành mạnh</v>
      </c>
    </row>
    <row r="37" spans="1:8" ht="15" customHeight="1" x14ac:dyDescent="0.35">
      <c r="A37" s="11" t="s">
        <v>188</v>
      </c>
      <c r="B37" s="12"/>
      <c r="C37" s="12"/>
      <c r="D37" s="12"/>
      <c r="E37" s="12"/>
      <c r="F37" s="12"/>
      <c r="G37" s="12"/>
      <c r="H37" s="12"/>
    </row>
    <row r="38" spans="1:8" ht="15" customHeight="1" x14ac:dyDescent="0.35">
      <c r="A38" s="31" t="s">
        <v>189</v>
      </c>
      <c r="B38" s="31" t="s">
        <v>190</v>
      </c>
      <c r="C38" s="31" t="s">
        <v>191</v>
      </c>
      <c r="D38" s="31" t="s">
        <v>192</v>
      </c>
    </row>
    <row r="39" spans="1:8" ht="15" customHeight="1" x14ac:dyDescent="0.35">
      <c r="A39" s="32">
        <v>0.5</v>
      </c>
      <c r="B39" s="18">
        <f t="shared" ref="B39:B44" si="0">($B$29+$B$30+$B$31*(1-A39))/A39</f>
        <v>1.2939748</v>
      </c>
      <c r="C39" s="20">
        <f t="shared" ref="C39:C44" si="1">IF($B$19=0,0,1-B39/$B$19)</f>
        <v>0.13735013333333335</v>
      </c>
      <c r="D39" s="7" t="str">
        <f t="shared" ref="D39:D44" si="2">IF(C39&gt;=0.6,"An toàn",IF(C39&gt;=0.5,"Cảnh báo","Nguy hiểm"))</f>
        <v>Nguy hiểm</v>
      </c>
    </row>
    <row r="40" spans="1:8" ht="15" customHeight="1" x14ac:dyDescent="0.35">
      <c r="A40" s="32">
        <v>0.6</v>
      </c>
      <c r="B40" s="18">
        <f t="shared" si="0"/>
        <v>0.87831233333333336</v>
      </c>
      <c r="C40" s="20">
        <f t="shared" si="1"/>
        <v>0.41445844444444446</v>
      </c>
      <c r="D40" s="7" t="str">
        <f t="shared" si="2"/>
        <v>Nguy hiểm</v>
      </c>
    </row>
    <row r="41" spans="1:8" ht="15" customHeight="1" x14ac:dyDescent="0.35">
      <c r="A41" s="32">
        <v>0.7</v>
      </c>
      <c r="B41" s="18">
        <f t="shared" si="0"/>
        <v>0.58141057142857155</v>
      </c>
      <c r="C41" s="20">
        <f t="shared" si="1"/>
        <v>0.61239295238095237</v>
      </c>
      <c r="D41" s="7" t="str">
        <f t="shared" si="2"/>
        <v>An toàn</v>
      </c>
    </row>
    <row r="42" spans="1:8" ht="15" customHeight="1" x14ac:dyDescent="0.35">
      <c r="A42" s="32">
        <v>0.8</v>
      </c>
      <c r="B42" s="18">
        <f t="shared" si="0"/>
        <v>0.35873424999999992</v>
      </c>
      <c r="C42" s="20">
        <f t="shared" si="1"/>
        <v>0.76084383333333339</v>
      </c>
      <c r="D42" s="7" t="str">
        <f t="shared" si="2"/>
        <v>An toàn</v>
      </c>
    </row>
    <row r="43" spans="1:8" ht="15" customHeight="1" x14ac:dyDescent="0.35">
      <c r="A43" s="32">
        <v>0.9</v>
      </c>
      <c r="B43" s="18">
        <f t="shared" si="0"/>
        <v>0.18554155555555554</v>
      </c>
      <c r="C43" s="20">
        <f t="shared" si="1"/>
        <v>0.87630562962962966</v>
      </c>
      <c r="D43" s="7" t="str">
        <f t="shared" si="2"/>
        <v>An toàn</v>
      </c>
    </row>
    <row r="44" spans="1:8" ht="15" customHeight="1" x14ac:dyDescent="0.35">
      <c r="A44" s="32">
        <v>0.95</v>
      </c>
      <c r="B44" s="18">
        <f t="shared" si="0"/>
        <v>0.11261831578947376</v>
      </c>
      <c r="C44" s="20">
        <f t="shared" si="1"/>
        <v>0.92492112280701755</v>
      </c>
      <c r="D44" s="7" t="str">
        <f t="shared" si="2"/>
        <v>An toàn</v>
      </c>
    </row>
    <row r="46" spans="1:8" ht="15" customHeight="1" x14ac:dyDescent="0.35">
      <c r="A46" s="3" t="s">
        <v>193</v>
      </c>
    </row>
    <row r="48" spans="1:8" ht="15" customHeight="1" x14ac:dyDescent="0.35">
      <c r="A48" s="11" t="s">
        <v>194</v>
      </c>
      <c r="B48" s="12"/>
      <c r="C48" s="12"/>
      <c r="D48" s="12"/>
      <c r="E48" s="12"/>
      <c r="F48" s="12"/>
      <c r="G48" s="12"/>
      <c r="H48" s="12"/>
    </row>
    <row r="49" spans="1:2" ht="15" customHeight="1" x14ac:dyDescent="0.35">
      <c r="A49" s="10" t="s">
        <v>190</v>
      </c>
      <c r="B49" s="19">
        <f>B5</f>
        <v>0.46264986666666663</v>
      </c>
    </row>
    <row r="50" spans="1:2" ht="15" customHeight="1" x14ac:dyDescent="0.35">
      <c r="A50" s="10" t="s">
        <v>195</v>
      </c>
      <c r="B50" s="19">
        <f>B7</f>
        <v>1.3879495999999998</v>
      </c>
    </row>
    <row r="51" spans="1:2" ht="15" customHeight="1" x14ac:dyDescent="0.35">
      <c r="A51" s="10" t="s">
        <v>196</v>
      </c>
      <c r="B51" s="19">
        <f>B19</f>
        <v>1.5</v>
      </c>
    </row>
    <row r="52" spans="1:2" ht="15" customHeight="1" x14ac:dyDescent="0.35">
      <c r="A52" s="10" t="s">
        <v>191</v>
      </c>
      <c r="B52" s="29">
        <f>B21</f>
        <v>0.69156675555555547</v>
      </c>
    </row>
    <row r="53" spans="1:2" ht="15" customHeight="1" x14ac:dyDescent="0.35">
      <c r="A53" s="10" t="s">
        <v>197</v>
      </c>
      <c r="B53" s="29">
        <f>B33</f>
        <v>0.69277077777777774</v>
      </c>
    </row>
    <row r="55" spans="1:2" x14ac:dyDescent="0.35">
      <c r="A55" t="s">
        <v>198</v>
      </c>
    </row>
    <row r="56" spans="1:2" x14ac:dyDescent="0.35">
      <c r="A56" t="s">
        <v>199</v>
      </c>
    </row>
    <row r="57" spans="1:2" x14ac:dyDescent="0.35">
      <c r="A57" t="s">
        <v>200</v>
      </c>
    </row>
    <row r="58" spans="1:2" x14ac:dyDescent="0.35">
      <c r="A58" t="s">
        <v>201</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4"/>
  <sheetViews>
    <sheetView zoomScaleNormal="100" workbookViewId="0"/>
  </sheetViews>
  <sheetFormatPr defaultColWidth="8.6328125" defaultRowHeight="14.5" x14ac:dyDescent="0.35"/>
  <cols>
    <col min="1" max="1" width="72" customWidth="1"/>
    <col min="2" max="2" width="12" customWidth="1"/>
    <col min="3" max="3" width="50" customWidth="1"/>
    <col min="4" max="4" width="46" customWidth="1"/>
    <col min="5" max="8" width="15" customWidth="1"/>
  </cols>
  <sheetData>
    <row r="1" spans="1:8" ht="24" customHeight="1" x14ac:dyDescent="0.4">
      <c r="A1" s="1" t="s">
        <v>202</v>
      </c>
      <c r="B1" s="2"/>
      <c r="C1" s="2"/>
      <c r="D1" s="2"/>
      <c r="E1" s="2"/>
      <c r="F1" s="2"/>
      <c r="G1" s="2"/>
      <c r="H1" s="2"/>
    </row>
    <row r="2" spans="1:8" ht="15" customHeight="1" x14ac:dyDescent="0.35">
      <c r="A2" s="3" t="s">
        <v>203</v>
      </c>
    </row>
    <row r="4" spans="1:8" ht="15" customHeight="1" x14ac:dyDescent="0.35">
      <c r="A4" s="11" t="s">
        <v>204</v>
      </c>
      <c r="B4" s="12"/>
      <c r="C4" s="12"/>
      <c r="D4" s="12"/>
      <c r="E4" s="12"/>
      <c r="F4" s="12"/>
      <c r="G4" s="12"/>
      <c r="H4" s="12"/>
    </row>
    <row r="5" spans="1:8" ht="15" customHeight="1" x14ac:dyDescent="0.35">
      <c r="A5" s="6" t="s">
        <v>205</v>
      </c>
      <c r="B5" s="13">
        <v>1</v>
      </c>
      <c r="D5" t="s">
        <v>206</v>
      </c>
    </row>
    <row r="6" spans="1:8" ht="15" customHeight="1" x14ac:dyDescent="0.35">
      <c r="A6" s="6" t="s">
        <v>207</v>
      </c>
      <c r="B6" s="13">
        <v>1</v>
      </c>
      <c r="D6" t="s">
        <v>208</v>
      </c>
    </row>
    <row r="7" spans="1:8" ht="15" customHeight="1" x14ac:dyDescent="0.35">
      <c r="A7" s="6" t="s">
        <v>209</v>
      </c>
      <c r="B7" s="13">
        <v>0</v>
      </c>
      <c r="D7" t="s">
        <v>210</v>
      </c>
    </row>
    <row r="8" spans="1:8" ht="15" customHeight="1" x14ac:dyDescent="0.35">
      <c r="A8" s="6" t="s">
        <v>211</v>
      </c>
      <c r="B8" s="13">
        <v>0</v>
      </c>
      <c r="D8" t="s">
        <v>212</v>
      </c>
    </row>
    <row r="9" spans="1:8" ht="15" customHeight="1" x14ac:dyDescent="0.35">
      <c r="A9" s="6" t="s">
        <v>213</v>
      </c>
      <c r="B9" s="13">
        <v>2</v>
      </c>
      <c r="D9" t="s">
        <v>214</v>
      </c>
    </row>
    <row r="10" spans="1:8" ht="15" customHeight="1" x14ac:dyDescent="0.35">
      <c r="A10" s="10" t="s">
        <v>215</v>
      </c>
      <c r="B10" s="33">
        <f>SUM(B5:B9)</f>
        <v>4</v>
      </c>
    </row>
    <row r="12" spans="1:8" ht="15" customHeight="1" x14ac:dyDescent="0.35">
      <c r="A12" s="11" t="s">
        <v>216</v>
      </c>
      <c r="B12" s="12"/>
      <c r="C12" s="12"/>
      <c r="D12" s="12"/>
      <c r="E12" s="12"/>
      <c r="F12" s="12"/>
      <c r="G12" s="12"/>
      <c r="H12" s="12"/>
    </row>
    <row r="13" spans="1:8" ht="15" customHeight="1" x14ac:dyDescent="0.35">
      <c r="A13" s="6" t="s">
        <v>217</v>
      </c>
      <c r="B13" s="13">
        <v>2</v>
      </c>
      <c r="D13" t="s">
        <v>218</v>
      </c>
    </row>
    <row r="14" spans="1:8" ht="15" customHeight="1" x14ac:dyDescent="0.35">
      <c r="A14" s="6" t="s">
        <v>219</v>
      </c>
      <c r="B14" s="13">
        <v>1</v>
      </c>
      <c r="D14" t="s">
        <v>220</v>
      </c>
    </row>
    <row r="15" spans="1:8" ht="15" customHeight="1" x14ac:dyDescent="0.35">
      <c r="A15" s="6" t="s">
        <v>221</v>
      </c>
      <c r="B15" s="13">
        <v>1</v>
      </c>
      <c r="D15" t="s">
        <v>222</v>
      </c>
    </row>
    <row r="16" spans="1:8" ht="15" customHeight="1" x14ac:dyDescent="0.35">
      <c r="A16" s="6" t="s">
        <v>223</v>
      </c>
      <c r="B16" s="13">
        <v>0</v>
      </c>
      <c r="D16" t="s">
        <v>224</v>
      </c>
    </row>
    <row r="17" spans="1:8" ht="15" customHeight="1" x14ac:dyDescent="0.35">
      <c r="A17" s="6" t="s">
        <v>225</v>
      </c>
      <c r="B17" s="13">
        <v>0</v>
      </c>
      <c r="D17" t="s">
        <v>226</v>
      </c>
    </row>
    <row r="18" spans="1:8" ht="15" customHeight="1" x14ac:dyDescent="0.35">
      <c r="A18" s="10" t="s">
        <v>227</v>
      </c>
      <c r="B18" s="33">
        <f>SUM(B13:B17)</f>
        <v>4</v>
      </c>
    </row>
    <row r="20" spans="1:8" ht="15" customHeight="1" x14ac:dyDescent="0.35">
      <c r="A20" s="11" t="s">
        <v>228</v>
      </c>
      <c r="B20" s="12"/>
      <c r="C20" s="12"/>
      <c r="D20" s="12"/>
      <c r="E20" s="12"/>
      <c r="F20" s="12"/>
      <c r="G20" s="12"/>
      <c r="H20" s="12"/>
    </row>
    <row r="21" spans="1:8" ht="15" customHeight="1" x14ac:dyDescent="0.35">
      <c r="A21" s="10" t="s">
        <v>229</v>
      </c>
      <c r="B21" s="34" t="str">
        <f>IF(AND(B10&gt;=7,B18&gt;=7),"OUTCOME",IF(AND(B10&gt;=7,B18&lt;7),"USAGE",IF(AND(B10&lt;7,B18&gt;=7),"USAGE (an toàn)","SEAT hoặc HYBRID")))</f>
        <v>SEAT hoặc HYBRID</v>
      </c>
    </row>
    <row r="22" spans="1:8" ht="15" customHeight="1" x14ac:dyDescent="0.35">
      <c r="A22" s="3" t="s">
        <v>230</v>
      </c>
    </row>
    <row r="24" spans="1:8" ht="15" customHeight="1" x14ac:dyDescent="0.35">
      <c r="A24" s="11" t="s">
        <v>231</v>
      </c>
      <c r="B24" s="12"/>
      <c r="C24" s="12"/>
      <c r="D24" s="12"/>
      <c r="E24" s="12"/>
      <c r="F24" s="12"/>
      <c r="G24" s="12"/>
      <c r="H24" s="12"/>
    </row>
    <row r="25" spans="1:8" ht="15" customHeight="1" x14ac:dyDescent="0.35">
      <c r="A25" s="31" t="s">
        <v>232</v>
      </c>
      <c r="B25" s="31" t="s">
        <v>233</v>
      </c>
      <c r="C25" s="31" t="s">
        <v>234</v>
      </c>
      <c r="D25" s="31" t="s">
        <v>235</v>
      </c>
    </row>
    <row r="26" spans="1:8" ht="15" customHeight="1" x14ac:dyDescent="0.35">
      <c r="A26" s="5" t="s">
        <v>236</v>
      </c>
      <c r="B26" s="5" t="s">
        <v>237</v>
      </c>
      <c r="C26" s="5" t="s">
        <v>238</v>
      </c>
      <c r="D26" s="5" t="s">
        <v>239</v>
      </c>
    </row>
    <row r="27" spans="1:8" ht="15" customHeight="1" x14ac:dyDescent="0.35">
      <c r="A27" s="5" t="s">
        <v>240</v>
      </c>
      <c r="B27" s="5" t="s">
        <v>241</v>
      </c>
      <c r="C27" s="5" t="s">
        <v>242</v>
      </c>
      <c r="D27" s="5" t="s">
        <v>243</v>
      </c>
    </row>
    <row r="28" spans="1:8" x14ac:dyDescent="0.35">
      <c r="A28" t="s">
        <v>244</v>
      </c>
    </row>
    <row r="29" spans="1:8" ht="15" customHeight="1" x14ac:dyDescent="0.35">
      <c r="A29" s="11" t="s">
        <v>245</v>
      </c>
      <c r="B29" s="12"/>
      <c r="C29" s="12"/>
      <c r="D29" s="12"/>
      <c r="E29" s="12"/>
      <c r="F29" s="12"/>
      <c r="G29" s="12"/>
      <c r="H29" s="12"/>
    </row>
    <row r="30" spans="1:8" ht="15" customHeight="1" x14ac:dyDescent="0.35">
      <c r="A30" s="6" t="s">
        <v>246</v>
      </c>
      <c r="B30" s="5" t="s">
        <v>247</v>
      </c>
    </row>
    <row r="31" spans="1:8" ht="15" customHeight="1" x14ac:dyDescent="0.35">
      <c r="A31" s="6" t="s">
        <v>248</v>
      </c>
      <c r="B31" s="5" t="s">
        <v>249</v>
      </c>
    </row>
    <row r="32" spans="1:8" ht="15" customHeight="1" x14ac:dyDescent="0.35">
      <c r="A32" s="6" t="s">
        <v>250</v>
      </c>
      <c r="B32" s="5" t="s">
        <v>251</v>
      </c>
    </row>
    <row r="33" spans="1:2" ht="15" customHeight="1" x14ac:dyDescent="0.35">
      <c r="A33" s="6" t="s">
        <v>252</v>
      </c>
      <c r="B33" s="5" t="s">
        <v>253</v>
      </c>
    </row>
    <row r="34" spans="1:2" ht="15" customHeight="1" x14ac:dyDescent="0.35">
      <c r="A34" s="6" t="s">
        <v>254</v>
      </c>
      <c r="B34" s="5" t="s">
        <v>255</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2"/>
  <sheetViews>
    <sheetView zoomScaleNormal="100" workbookViewId="0"/>
  </sheetViews>
  <sheetFormatPr defaultColWidth="8.6328125" defaultRowHeight="14.5" x14ac:dyDescent="0.35"/>
  <cols>
    <col min="1" max="1" width="46" customWidth="1"/>
    <col min="2" max="3" width="16" customWidth="1"/>
    <col min="4" max="4" width="54" customWidth="1"/>
    <col min="5" max="8" width="15" customWidth="1"/>
  </cols>
  <sheetData>
    <row r="1" spans="1:8" ht="24" customHeight="1" x14ac:dyDescent="0.4">
      <c r="A1" s="1" t="s">
        <v>256</v>
      </c>
      <c r="B1" s="2"/>
      <c r="C1" s="2"/>
      <c r="D1" s="2"/>
      <c r="E1" s="2"/>
      <c r="F1" s="2"/>
      <c r="G1" s="2"/>
      <c r="H1" s="2"/>
    </row>
    <row r="2" spans="1:8" ht="15" customHeight="1" x14ac:dyDescent="0.35">
      <c r="A2" s="3" t="s">
        <v>257</v>
      </c>
    </row>
    <row r="4" spans="1:8" ht="15" customHeight="1" x14ac:dyDescent="0.35">
      <c r="A4" s="11" t="s">
        <v>258</v>
      </c>
      <c r="B4" s="12"/>
      <c r="C4" s="12"/>
      <c r="D4" s="12"/>
      <c r="E4" s="12"/>
      <c r="F4" s="12"/>
      <c r="G4" s="12"/>
      <c r="H4" s="12"/>
    </row>
    <row r="5" spans="1:8" ht="15" customHeight="1" x14ac:dyDescent="0.35">
      <c r="A5" s="6" t="s">
        <v>259</v>
      </c>
      <c r="B5" s="27">
        <v>8500</v>
      </c>
      <c r="D5" t="s">
        <v>260</v>
      </c>
    </row>
    <row r="6" spans="1:8" ht="15" customHeight="1" x14ac:dyDescent="0.35">
      <c r="A6" s="6" t="s">
        <v>261</v>
      </c>
      <c r="B6" s="30">
        <f>'2_Pricing'!B21</f>
        <v>0.69156675555555547</v>
      </c>
    </row>
    <row r="7" spans="1:8" ht="15" customHeight="1" x14ac:dyDescent="0.35">
      <c r="A7" s="6" t="s">
        <v>262</v>
      </c>
      <c r="B7" s="13" t="s">
        <v>263</v>
      </c>
      <c r="D7" t="s">
        <v>264</v>
      </c>
    </row>
    <row r="8" spans="1:8" ht="15" customHeight="1" x14ac:dyDescent="0.35">
      <c r="A8" s="6" t="s">
        <v>265</v>
      </c>
      <c r="B8" s="16">
        <f>IF(B7="SMB",12,IF(B7="Mid",18,24))</f>
        <v>24</v>
      </c>
      <c r="C8" s="3" t="s">
        <v>266</v>
      </c>
      <c r="D8" s="3" t="s">
        <v>267</v>
      </c>
    </row>
    <row r="9" spans="1:8" ht="15" customHeight="1" x14ac:dyDescent="0.35">
      <c r="A9" s="10" t="s">
        <v>268</v>
      </c>
      <c r="B9" s="35">
        <f>B5*B6*B8</f>
        <v>141079.61813333331</v>
      </c>
      <c r="D9" s="3" t="s">
        <v>269</v>
      </c>
    </row>
    <row r="10" spans="1:8" ht="15" customHeight="1" x14ac:dyDescent="0.35">
      <c r="A10" s="6" t="s">
        <v>270</v>
      </c>
      <c r="B10" s="36">
        <f>B5*12</f>
        <v>102000</v>
      </c>
    </row>
    <row r="12" spans="1:8" ht="15" customHeight="1" x14ac:dyDescent="0.35">
      <c r="A12" s="11" t="s">
        <v>271</v>
      </c>
      <c r="B12" s="12"/>
      <c r="C12" s="12"/>
      <c r="D12" s="12"/>
      <c r="E12" s="12"/>
      <c r="F12" s="12"/>
      <c r="G12" s="12"/>
      <c r="H12" s="12"/>
    </row>
    <row r="13" spans="1:8" ht="15" customHeight="1" x14ac:dyDescent="0.35">
      <c r="A13" s="6" t="s">
        <v>272</v>
      </c>
      <c r="B13" s="27">
        <v>160000</v>
      </c>
      <c r="D13" s="3" t="s">
        <v>273</v>
      </c>
    </row>
    <row r="14" spans="1:8" ht="15" customHeight="1" x14ac:dyDescent="0.35">
      <c r="A14" s="6" t="s">
        <v>274</v>
      </c>
      <c r="B14" s="14">
        <v>250</v>
      </c>
      <c r="C14" s="3" t="s">
        <v>275</v>
      </c>
    </row>
    <row r="15" spans="1:8" ht="15" customHeight="1" x14ac:dyDescent="0.35">
      <c r="A15" s="6" t="s">
        <v>276</v>
      </c>
      <c r="B15" s="16">
        <f>IF(B10=0,0,B13/B10)</f>
        <v>1.5686274509803921</v>
      </c>
    </row>
    <row r="16" spans="1:8" ht="15" customHeight="1" x14ac:dyDescent="0.35">
      <c r="A16" s="10" t="s">
        <v>277</v>
      </c>
      <c r="B16" s="37">
        <f>IF(B14=0,0,B15/B14)</f>
        <v>6.2745098039215684E-3</v>
      </c>
      <c r="C16" s="3" t="s">
        <v>278</v>
      </c>
    </row>
    <row r="17" spans="1:8" ht="15" customHeight="1" x14ac:dyDescent="0.35">
      <c r="A17" s="6" t="s">
        <v>279</v>
      </c>
      <c r="B17" s="7" t="str">
        <f>IF(B16&lt;=1,"KHẢ THI về mặt số học","BẤT KHẢ THI — ACV quá thấp để nuôi sales rep")</f>
        <v>KHẢ THI về mặt số học</v>
      </c>
    </row>
    <row r="19" spans="1:8" ht="15" customHeight="1" x14ac:dyDescent="0.35">
      <c r="A19" s="11" t="s">
        <v>280</v>
      </c>
      <c r="B19" s="12"/>
      <c r="C19" s="12"/>
      <c r="D19" s="12"/>
      <c r="E19" s="12"/>
      <c r="F19" s="12"/>
      <c r="G19" s="12"/>
      <c r="H19" s="12"/>
    </row>
    <row r="20" spans="1:8" ht="15" customHeight="1" x14ac:dyDescent="0.35">
      <c r="A20" s="6" t="s">
        <v>281</v>
      </c>
      <c r="B20" s="27">
        <v>11200</v>
      </c>
      <c r="D20" s="3" t="s">
        <v>282</v>
      </c>
    </row>
    <row r="21" spans="1:8" ht="15" customHeight="1" x14ac:dyDescent="0.35">
      <c r="A21" s="6" t="s">
        <v>283</v>
      </c>
      <c r="B21" s="15">
        <v>0.25</v>
      </c>
      <c r="D21" t="s">
        <v>284</v>
      </c>
    </row>
    <row r="22" spans="1:8" ht="15" customHeight="1" x14ac:dyDescent="0.35">
      <c r="A22" s="6" t="s">
        <v>285</v>
      </c>
      <c r="B22" s="36">
        <f>IF(B21=0,0,B20/B21)</f>
        <v>44800</v>
      </c>
    </row>
    <row r="23" spans="1:8" ht="15" customHeight="1" x14ac:dyDescent="0.35">
      <c r="A23" s="10" t="s">
        <v>286</v>
      </c>
      <c r="B23" s="38">
        <f>IF(B9=0,0,B22/B9)</f>
        <v>0.31755118558415613</v>
      </c>
      <c r="D23" s="3" t="s">
        <v>287</v>
      </c>
    </row>
    <row r="24" spans="1:8" ht="15" customHeight="1" x14ac:dyDescent="0.35">
      <c r="A24" s="6" t="s">
        <v>187</v>
      </c>
      <c r="B24" s="7" t="str">
        <f>IF(B23&lt;=1,"Motion có sales KHẢ THI",IF(B23&lt;=3,"Căng — cần tăng giá hoặc giảm chi phí bán hàng","KHÔNG KHẢ THI — đi PLG hoặc Partner-Led"))</f>
        <v>Motion có sales KHẢ THI</v>
      </c>
    </row>
    <row r="26" spans="1:8" ht="15" customHeight="1" x14ac:dyDescent="0.35">
      <c r="A26" s="11" t="s">
        <v>288</v>
      </c>
      <c r="B26" s="12"/>
      <c r="C26" s="12"/>
      <c r="D26" s="12"/>
      <c r="E26" s="12"/>
      <c r="F26" s="12"/>
      <c r="G26" s="12"/>
      <c r="H26" s="12"/>
    </row>
    <row r="27" spans="1:8" ht="15" customHeight="1" x14ac:dyDescent="0.35">
      <c r="A27" s="31" t="s">
        <v>289</v>
      </c>
      <c r="B27" s="31" t="s">
        <v>290</v>
      </c>
      <c r="C27" s="31" t="s">
        <v>291</v>
      </c>
      <c r="D27" s="31" t="s">
        <v>292</v>
      </c>
    </row>
    <row r="28" spans="1:8" ht="15" customHeight="1" x14ac:dyDescent="0.35">
      <c r="A28" s="6" t="s">
        <v>293</v>
      </c>
      <c r="B28" s="13">
        <v>4</v>
      </c>
      <c r="C28" s="13">
        <v>5</v>
      </c>
      <c r="D28" s="13">
        <v>4</v>
      </c>
      <c r="F28" t="s">
        <v>294</v>
      </c>
    </row>
    <row r="29" spans="1:8" ht="15" customHeight="1" x14ac:dyDescent="0.35">
      <c r="A29" s="6" t="s">
        <v>295</v>
      </c>
      <c r="B29" s="13">
        <v>1</v>
      </c>
      <c r="C29" s="13">
        <v>5</v>
      </c>
      <c r="D29" s="13">
        <v>3</v>
      </c>
      <c r="F29" t="s">
        <v>296</v>
      </c>
    </row>
    <row r="30" spans="1:8" ht="15" customHeight="1" x14ac:dyDescent="0.35">
      <c r="A30" s="6" t="s">
        <v>297</v>
      </c>
      <c r="B30" s="13">
        <v>2</v>
      </c>
      <c r="C30" s="13">
        <v>3</v>
      </c>
      <c r="D30" s="13">
        <v>2</v>
      </c>
      <c r="F30" t="s">
        <v>298</v>
      </c>
    </row>
    <row r="31" spans="1:8" ht="15" customHeight="1" x14ac:dyDescent="0.35">
      <c r="A31" s="6" t="s">
        <v>299</v>
      </c>
      <c r="B31" s="13">
        <v>2</v>
      </c>
      <c r="C31" s="13">
        <v>3</v>
      </c>
      <c r="D31" s="13">
        <v>2</v>
      </c>
      <c r="F31" t="s">
        <v>300</v>
      </c>
    </row>
    <row r="32" spans="1:8" ht="15" customHeight="1" x14ac:dyDescent="0.35">
      <c r="A32" s="6" t="s">
        <v>301</v>
      </c>
      <c r="B32" s="13">
        <v>1</v>
      </c>
      <c r="C32" s="13">
        <v>4</v>
      </c>
      <c r="D32" s="13">
        <v>3</v>
      </c>
      <c r="F32" t="s">
        <v>302</v>
      </c>
    </row>
    <row r="33" spans="1:8" ht="15" customHeight="1" x14ac:dyDescent="0.35">
      <c r="A33" s="6" t="s">
        <v>303</v>
      </c>
      <c r="B33" s="13">
        <v>3</v>
      </c>
      <c r="C33" s="13">
        <v>4</v>
      </c>
      <c r="D33" s="13">
        <v>2</v>
      </c>
      <c r="F33" t="s">
        <v>304</v>
      </c>
    </row>
    <row r="34" spans="1:8" ht="15" customHeight="1" x14ac:dyDescent="0.35">
      <c r="A34" s="10" t="s">
        <v>305</v>
      </c>
      <c r="B34" s="34">
        <f>SUM(B28:B33)</f>
        <v>13</v>
      </c>
      <c r="C34" s="34">
        <f>SUM(C28:C33)</f>
        <v>24</v>
      </c>
      <c r="D34" s="34">
        <f>SUM(D28:D33)</f>
        <v>16</v>
      </c>
    </row>
    <row r="35" spans="1:8" ht="15" customHeight="1" x14ac:dyDescent="0.35">
      <c r="A35" s="10" t="s">
        <v>306</v>
      </c>
      <c r="B35" s="34" t="str">
        <f>IF(AND(B34&gt;=C34,B34&gt;=D34),"PLG",IF(C34&gt;=D34,"Sales-Led","Partner-Led"))</f>
        <v>Sales-Led</v>
      </c>
    </row>
    <row r="37" spans="1:8" ht="15" customHeight="1" x14ac:dyDescent="0.35">
      <c r="A37" s="11" t="s">
        <v>307</v>
      </c>
      <c r="B37" s="12"/>
      <c r="C37" s="12"/>
      <c r="D37" s="12"/>
      <c r="E37" s="12"/>
      <c r="F37" s="12"/>
      <c r="G37" s="12"/>
      <c r="H37" s="12"/>
    </row>
    <row r="38" spans="1:8" ht="15" customHeight="1" x14ac:dyDescent="0.35">
      <c r="A38" s="6" t="s">
        <v>308</v>
      </c>
      <c r="B38" s="5" t="s">
        <v>291</v>
      </c>
      <c r="D38" s="3" t="s">
        <v>309</v>
      </c>
    </row>
    <row r="39" spans="1:8" ht="15" customHeight="1" x14ac:dyDescent="0.35">
      <c r="A39" s="6" t="s">
        <v>310</v>
      </c>
      <c r="B39" s="5" t="s">
        <v>311</v>
      </c>
      <c r="D39" s="3" t="s">
        <v>312</v>
      </c>
    </row>
    <row r="40" spans="1:8" ht="15" customHeight="1" x14ac:dyDescent="0.35">
      <c r="A40" s="6" t="s">
        <v>313</v>
      </c>
      <c r="B40" s="5" t="s">
        <v>314</v>
      </c>
    </row>
    <row r="41" spans="1:8" ht="15" customHeight="1" x14ac:dyDescent="0.35">
      <c r="A41" s="6" t="s">
        <v>315</v>
      </c>
      <c r="B41" s="5" t="s">
        <v>316</v>
      </c>
    </row>
    <row r="42" spans="1:8" ht="15" customHeight="1" x14ac:dyDescent="0.35">
      <c r="A42" s="6" t="s">
        <v>317</v>
      </c>
      <c r="B42" s="5" t="s">
        <v>318</v>
      </c>
      <c r="D42" s="3" t="s">
        <v>319</v>
      </c>
    </row>
  </sheetData>
  <dataValidations count="1">
    <dataValidation type="list" sqref="B7" xr:uid="{00000000-0002-0000-0400-000000000000}">
      <formula1>"SMB,Mid,Enterprise"</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2"/>
  <sheetViews>
    <sheetView zoomScaleNormal="100" workbookViewId="0"/>
  </sheetViews>
  <sheetFormatPr defaultColWidth="8.6328125" defaultRowHeight="14.5" x14ac:dyDescent="0.35"/>
  <cols>
    <col min="1" max="1" width="30" customWidth="1"/>
    <col min="2" max="4" width="34" customWidth="1"/>
    <col min="5" max="8" width="15" customWidth="1"/>
  </cols>
  <sheetData>
    <row r="1" spans="1:8" ht="24" customHeight="1" x14ac:dyDescent="0.4">
      <c r="A1" s="1" t="s">
        <v>320</v>
      </c>
      <c r="B1" s="2"/>
      <c r="C1" s="2"/>
      <c r="D1" s="2"/>
      <c r="E1" s="2"/>
      <c r="F1" s="2"/>
      <c r="G1" s="2"/>
      <c r="H1" s="2"/>
    </row>
    <row r="2" spans="1:8" ht="15" customHeight="1" x14ac:dyDescent="0.35">
      <c r="A2" s="3" t="s">
        <v>321</v>
      </c>
    </row>
    <row r="4" spans="1:8" ht="15" customHeight="1" x14ac:dyDescent="0.35">
      <c r="A4" s="11" t="s">
        <v>322</v>
      </c>
      <c r="B4" s="12"/>
      <c r="C4" s="12"/>
      <c r="D4" s="12"/>
      <c r="E4" s="12"/>
      <c r="F4" s="12"/>
      <c r="G4" s="12"/>
      <c r="H4" s="12"/>
    </row>
    <row r="5" spans="1:8" ht="15" customHeight="1" x14ac:dyDescent="0.35">
      <c r="A5" s="6" t="s">
        <v>323</v>
      </c>
      <c r="B5" s="5" t="s">
        <v>324</v>
      </c>
      <c r="D5" t="s">
        <v>325</v>
      </c>
    </row>
    <row r="6" spans="1:8" ht="15" customHeight="1" x14ac:dyDescent="0.35">
      <c r="A6" s="6" t="s">
        <v>326</v>
      </c>
      <c r="B6" s="5" t="s">
        <v>327</v>
      </c>
      <c r="D6" t="s">
        <v>328</v>
      </c>
    </row>
    <row r="7" spans="1:8" ht="15" customHeight="1" x14ac:dyDescent="0.35">
      <c r="A7" s="6" t="s">
        <v>329</v>
      </c>
      <c r="B7" s="5" t="s">
        <v>330</v>
      </c>
    </row>
    <row r="8" spans="1:8" ht="15" customHeight="1" x14ac:dyDescent="0.35">
      <c r="A8" s="6" t="s">
        <v>331</v>
      </c>
      <c r="B8" s="5" t="s">
        <v>332</v>
      </c>
      <c r="D8" s="3" t="s">
        <v>333</v>
      </c>
    </row>
    <row r="9" spans="1:8" x14ac:dyDescent="0.35">
      <c r="A9" t="s">
        <v>334</v>
      </c>
    </row>
    <row r="10" spans="1:8" ht="15" customHeight="1" x14ac:dyDescent="0.35">
      <c r="A10" s="11" t="s">
        <v>335</v>
      </c>
      <c r="B10" s="12"/>
      <c r="C10" s="12"/>
      <c r="D10" s="12"/>
      <c r="E10" s="12"/>
      <c r="F10" s="12"/>
      <c r="G10" s="12"/>
      <c r="H10" s="12"/>
    </row>
    <row r="11" spans="1:8" ht="15" customHeight="1" x14ac:dyDescent="0.35">
      <c r="A11" s="31"/>
      <c r="B11" s="31" t="s">
        <v>336</v>
      </c>
      <c r="C11" s="31" t="s">
        <v>337</v>
      </c>
      <c r="D11" s="31" t="s">
        <v>338</v>
      </c>
    </row>
    <row r="12" spans="1:8" ht="30" customHeight="1" x14ac:dyDescent="0.35">
      <c r="A12" s="6" t="s">
        <v>339</v>
      </c>
      <c r="B12" s="39" t="s">
        <v>340</v>
      </c>
      <c r="C12" s="39" t="s">
        <v>341</v>
      </c>
      <c r="D12" s="39" t="s">
        <v>342</v>
      </c>
    </row>
    <row r="13" spans="1:8" ht="30" customHeight="1" x14ac:dyDescent="0.35">
      <c r="A13" s="6" t="s">
        <v>343</v>
      </c>
      <c r="B13" s="39" t="s">
        <v>344</v>
      </c>
      <c r="C13" s="39" t="s">
        <v>345</v>
      </c>
      <c r="D13" s="39" t="s">
        <v>346</v>
      </c>
    </row>
    <row r="14" spans="1:8" ht="30" customHeight="1" x14ac:dyDescent="0.35">
      <c r="A14" s="6" t="s">
        <v>347</v>
      </c>
      <c r="B14" s="39" t="s">
        <v>348</v>
      </c>
      <c r="C14" s="39" t="s">
        <v>349</v>
      </c>
      <c r="D14" s="39" t="s">
        <v>350</v>
      </c>
    </row>
    <row r="15" spans="1:8" ht="30" customHeight="1" x14ac:dyDescent="0.35">
      <c r="A15" s="6" t="s">
        <v>351</v>
      </c>
      <c r="B15" s="39" t="s">
        <v>352</v>
      </c>
      <c r="C15" s="39" t="s">
        <v>353</v>
      </c>
      <c r="D15" s="39" t="s">
        <v>354</v>
      </c>
    </row>
    <row r="16" spans="1:8" ht="30" customHeight="1" x14ac:dyDescent="0.35">
      <c r="A16" s="6" t="s">
        <v>355</v>
      </c>
      <c r="B16" s="39" t="s">
        <v>356</v>
      </c>
      <c r="C16" s="39" t="s">
        <v>357</v>
      </c>
      <c r="D16" s="39" t="s">
        <v>358</v>
      </c>
    </row>
    <row r="17" spans="1:8" ht="30" customHeight="1" x14ac:dyDescent="0.35">
      <c r="A17" s="6" t="s">
        <v>359</v>
      </c>
      <c r="B17" s="39" t="s">
        <v>360</v>
      </c>
      <c r="C17" s="39" t="s">
        <v>361</v>
      </c>
      <c r="D17" s="39" t="s">
        <v>362</v>
      </c>
    </row>
    <row r="18" spans="1:8" ht="30" customHeight="1" x14ac:dyDescent="0.35">
      <c r="A18" s="6" t="s">
        <v>363</v>
      </c>
      <c r="B18" s="39" t="s">
        <v>364</v>
      </c>
      <c r="C18" s="39" t="s">
        <v>365</v>
      </c>
      <c r="D18" s="39" t="s">
        <v>366</v>
      </c>
    </row>
    <row r="19" spans="1:8" ht="15" customHeight="1" x14ac:dyDescent="0.35">
      <c r="A19" s="3" t="s">
        <v>367</v>
      </c>
    </row>
    <row r="21" spans="1:8" ht="15" customHeight="1" x14ac:dyDescent="0.35">
      <c r="A21" s="11" t="s">
        <v>368</v>
      </c>
      <c r="B21" s="12"/>
      <c r="C21" s="12"/>
      <c r="D21" s="12"/>
      <c r="E21" s="12"/>
      <c r="F21" s="12"/>
      <c r="G21" s="12"/>
      <c r="H21" s="12"/>
    </row>
    <row r="22" spans="1:8" ht="15" customHeight="1" x14ac:dyDescent="0.35">
      <c r="A22" s="31" t="s">
        <v>369</v>
      </c>
      <c r="B22" s="31" t="s">
        <v>370</v>
      </c>
      <c r="C22" s="31" t="s">
        <v>371</v>
      </c>
      <c r="D22" s="31" t="s">
        <v>372</v>
      </c>
    </row>
    <row r="23" spans="1:8" ht="33.75" customHeight="1" x14ac:dyDescent="0.35">
      <c r="A23" s="6" t="s">
        <v>373</v>
      </c>
      <c r="B23" s="39" t="s">
        <v>374</v>
      </c>
      <c r="C23" s="39" t="s">
        <v>375</v>
      </c>
      <c r="D23" s="39" t="s">
        <v>376</v>
      </c>
    </row>
    <row r="24" spans="1:8" ht="33.75" customHeight="1" x14ac:dyDescent="0.35">
      <c r="A24" s="6" t="s">
        <v>377</v>
      </c>
      <c r="B24" s="39" t="s">
        <v>374</v>
      </c>
      <c r="C24" s="39" t="s">
        <v>378</v>
      </c>
      <c r="D24" s="39" t="s">
        <v>379</v>
      </c>
    </row>
    <row r="25" spans="1:8" ht="33.75" customHeight="1" x14ac:dyDescent="0.35">
      <c r="A25" s="6" t="s">
        <v>380</v>
      </c>
      <c r="B25" s="39" t="s">
        <v>374</v>
      </c>
      <c r="C25" s="39" t="s">
        <v>381</v>
      </c>
      <c r="D25" s="39" t="s">
        <v>382</v>
      </c>
    </row>
    <row r="26" spans="1:8" ht="15" customHeight="1" x14ac:dyDescent="0.35">
      <c r="A26" s="3" t="s">
        <v>383</v>
      </c>
    </row>
    <row r="28" spans="1:8" ht="15" customHeight="1" x14ac:dyDescent="0.35">
      <c r="A28" s="11" t="s">
        <v>384</v>
      </c>
      <c r="B28" s="12"/>
      <c r="C28" s="12"/>
      <c r="D28" s="12"/>
      <c r="E28" s="12"/>
      <c r="F28" s="12"/>
      <c r="G28" s="12"/>
      <c r="H28" s="12"/>
    </row>
    <row r="29" spans="1:8" ht="15" customHeight="1" x14ac:dyDescent="0.35">
      <c r="A29" s="6" t="s">
        <v>385</v>
      </c>
      <c r="B29" s="5" t="s">
        <v>386</v>
      </c>
      <c r="C29" t="s">
        <v>387</v>
      </c>
      <c r="D29" t="s">
        <v>388</v>
      </c>
    </row>
    <row r="30" spans="1:8" ht="15" customHeight="1" x14ac:dyDescent="0.35">
      <c r="A30" s="6" t="s">
        <v>389</v>
      </c>
      <c r="B30" s="5" t="s">
        <v>386</v>
      </c>
      <c r="C30" t="s">
        <v>390</v>
      </c>
    </row>
    <row r="31" spans="1:8" ht="15" customHeight="1" x14ac:dyDescent="0.35">
      <c r="A31" s="6" t="s">
        <v>391</v>
      </c>
      <c r="B31" s="5" t="s">
        <v>386</v>
      </c>
      <c r="C31" t="s">
        <v>392</v>
      </c>
    </row>
    <row r="32" spans="1:8" ht="15" customHeight="1" x14ac:dyDescent="0.35">
      <c r="A32" s="6" t="s">
        <v>393</v>
      </c>
      <c r="B32" s="5">
        <v>0</v>
      </c>
      <c r="D32" t="s">
        <v>394</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4"/>
  <sheetViews>
    <sheetView zoomScaleNormal="100" workbookViewId="0"/>
  </sheetViews>
  <sheetFormatPr defaultColWidth="8.6328125" defaultRowHeight="14.5" x14ac:dyDescent="0.35"/>
  <cols>
    <col min="1" max="1" width="26" customWidth="1"/>
    <col min="2" max="2" width="30" customWidth="1"/>
    <col min="3" max="3" width="20" customWidth="1"/>
    <col min="4" max="4" width="16" customWidth="1"/>
    <col min="5" max="5" width="56" customWidth="1"/>
    <col min="6" max="8" width="15" customWidth="1"/>
  </cols>
  <sheetData>
    <row r="1" spans="1:8" ht="24" customHeight="1" x14ac:dyDescent="0.4">
      <c r="A1" s="1" t="s">
        <v>395</v>
      </c>
      <c r="B1" s="2"/>
      <c r="C1" s="2"/>
      <c r="D1" s="2"/>
      <c r="E1" s="2"/>
      <c r="F1" s="2"/>
      <c r="G1" s="2"/>
      <c r="H1" s="2"/>
    </row>
    <row r="2" spans="1:8" ht="15" customHeight="1" x14ac:dyDescent="0.35">
      <c r="A2" s="3" t="s">
        <v>396</v>
      </c>
    </row>
    <row r="3" spans="1:8" ht="15" customHeight="1" x14ac:dyDescent="0.35">
      <c r="A3" s="6" t="s">
        <v>397</v>
      </c>
      <c r="B3" s="5" t="s">
        <v>398</v>
      </c>
      <c r="D3" s="3" t="s">
        <v>399</v>
      </c>
    </row>
    <row r="5" spans="1:8" ht="15" customHeight="1" x14ac:dyDescent="0.35">
      <c r="A5" s="40" t="s">
        <v>400</v>
      </c>
      <c r="B5" s="40" t="s">
        <v>401</v>
      </c>
      <c r="C5" s="40" t="s">
        <v>402</v>
      </c>
      <c r="D5" s="40" t="s">
        <v>403</v>
      </c>
      <c r="E5" s="40" t="s">
        <v>404</v>
      </c>
    </row>
    <row r="6" spans="1:8" ht="15" customHeight="1" x14ac:dyDescent="0.35">
      <c r="A6" s="41" t="s">
        <v>144</v>
      </c>
      <c r="B6" s="41" t="s">
        <v>405</v>
      </c>
      <c r="C6" s="41" t="s">
        <v>406</v>
      </c>
      <c r="D6" s="41" t="s">
        <v>407</v>
      </c>
      <c r="E6" s="42" t="s">
        <v>408</v>
      </c>
    </row>
    <row r="7" spans="1:8" ht="15" customHeight="1" x14ac:dyDescent="0.35">
      <c r="A7" s="41" t="s">
        <v>144</v>
      </c>
      <c r="B7" s="41" t="s">
        <v>409</v>
      </c>
      <c r="C7" s="41" t="s">
        <v>410</v>
      </c>
      <c r="D7" s="41" t="s">
        <v>407</v>
      </c>
      <c r="E7" s="42" t="s">
        <v>408</v>
      </c>
    </row>
    <row r="8" spans="1:8" ht="15" customHeight="1" x14ac:dyDescent="0.35">
      <c r="A8" s="41" t="s">
        <v>144</v>
      </c>
      <c r="B8" s="41" t="s">
        <v>411</v>
      </c>
      <c r="C8" s="41" t="s">
        <v>412</v>
      </c>
      <c r="D8" s="41" t="s">
        <v>407</v>
      </c>
      <c r="E8" s="42" t="s">
        <v>408</v>
      </c>
    </row>
    <row r="9" spans="1:8" ht="15" customHeight="1" x14ac:dyDescent="0.35">
      <c r="A9" s="41" t="s">
        <v>144</v>
      </c>
      <c r="B9" s="41" t="s">
        <v>413</v>
      </c>
      <c r="C9" s="41" t="s">
        <v>414</v>
      </c>
      <c r="D9" s="41" t="s">
        <v>415</v>
      </c>
      <c r="E9" s="42" t="s">
        <v>408</v>
      </c>
    </row>
    <row r="10" spans="1:8" ht="22.4" customHeight="1" x14ac:dyDescent="0.35">
      <c r="A10" s="41" t="s">
        <v>144</v>
      </c>
      <c r="B10" s="41" t="s">
        <v>416</v>
      </c>
      <c r="C10" s="41" t="s">
        <v>417</v>
      </c>
      <c r="D10" s="41" t="s">
        <v>407</v>
      </c>
      <c r="E10" s="42" t="s">
        <v>418</v>
      </c>
    </row>
    <row r="11" spans="1:8" ht="15" customHeight="1" x14ac:dyDescent="0.35">
      <c r="A11" s="41" t="s">
        <v>144</v>
      </c>
      <c r="B11" s="41" t="s">
        <v>419</v>
      </c>
      <c r="C11" s="41" t="s">
        <v>420</v>
      </c>
      <c r="D11" s="41" t="s">
        <v>407</v>
      </c>
      <c r="E11" s="42" t="s">
        <v>421</v>
      </c>
    </row>
    <row r="12" spans="1:8" ht="15" customHeight="1" x14ac:dyDescent="0.35">
      <c r="A12" s="41" t="s">
        <v>144</v>
      </c>
      <c r="B12" s="41" t="s">
        <v>422</v>
      </c>
      <c r="C12" s="41" t="s">
        <v>423</v>
      </c>
      <c r="D12" s="41" t="s">
        <v>415</v>
      </c>
      <c r="E12" s="42" t="s">
        <v>421</v>
      </c>
    </row>
    <row r="13" spans="1:8" ht="15" customHeight="1" x14ac:dyDescent="0.35">
      <c r="A13" s="41" t="s">
        <v>144</v>
      </c>
      <c r="B13" s="41" t="s">
        <v>424</v>
      </c>
      <c r="C13" s="41" t="s">
        <v>425</v>
      </c>
      <c r="D13" s="41" t="s">
        <v>407</v>
      </c>
      <c r="E13" s="42" t="s">
        <v>426</v>
      </c>
    </row>
    <row r="14" spans="1:8" ht="22.4" customHeight="1" x14ac:dyDescent="0.35">
      <c r="A14" s="41" t="s">
        <v>144</v>
      </c>
      <c r="B14" s="41" t="s">
        <v>427</v>
      </c>
      <c r="C14" s="41" t="s">
        <v>428</v>
      </c>
      <c r="D14" s="41" t="s">
        <v>407</v>
      </c>
      <c r="E14" s="42" t="s">
        <v>429</v>
      </c>
    </row>
    <row r="15" spans="1:8" ht="15" customHeight="1" x14ac:dyDescent="0.35">
      <c r="A15" s="41" t="s">
        <v>430</v>
      </c>
      <c r="B15" s="41" t="s">
        <v>431</v>
      </c>
      <c r="C15" s="41" t="s">
        <v>432</v>
      </c>
      <c r="D15" s="41" t="s">
        <v>433</v>
      </c>
      <c r="E15" s="42" t="s">
        <v>434</v>
      </c>
    </row>
    <row r="16" spans="1:8" ht="15" customHeight="1" x14ac:dyDescent="0.35">
      <c r="A16" s="41" t="s">
        <v>430</v>
      </c>
      <c r="B16" s="41" t="s">
        <v>435</v>
      </c>
      <c r="C16" s="41" t="s">
        <v>436</v>
      </c>
      <c r="D16" s="41" t="s">
        <v>433</v>
      </c>
      <c r="E16" s="42" t="s">
        <v>437</v>
      </c>
    </row>
    <row r="17" spans="1:5" ht="15" customHeight="1" x14ac:dyDescent="0.35">
      <c r="A17" s="41" t="s">
        <v>430</v>
      </c>
      <c r="B17" s="41" t="s">
        <v>438</v>
      </c>
      <c r="C17" s="41" t="s">
        <v>439</v>
      </c>
      <c r="D17" s="41" t="s">
        <v>433</v>
      </c>
      <c r="E17" s="42" t="s">
        <v>440</v>
      </c>
    </row>
    <row r="18" spans="1:5" ht="15" customHeight="1" x14ac:dyDescent="0.35">
      <c r="A18" s="41" t="s">
        <v>430</v>
      </c>
      <c r="B18" s="41" t="s">
        <v>441</v>
      </c>
      <c r="C18" s="41" t="s">
        <v>442</v>
      </c>
      <c r="D18" s="41" t="s">
        <v>433</v>
      </c>
      <c r="E18" s="42" t="s">
        <v>421</v>
      </c>
    </row>
    <row r="19" spans="1:5" ht="15" customHeight="1" x14ac:dyDescent="0.35">
      <c r="A19" s="41" t="s">
        <v>443</v>
      </c>
      <c r="B19" s="41" t="s">
        <v>444</v>
      </c>
      <c r="C19" s="41" t="s">
        <v>445</v>
      </c>
      <c r="D19" s="41" t="s">
        <v>446</v>
      </c>
      <c r="E19" s="42" t="s">
        <v>447</v>
      </c>
    </row>
    <row r="20" spans="1:5" ht="15" customHeight="1" x14ac:dyDescent="0.35">
      <c r="A20" s="41" t="s">
        <v>443</v>
      </c>
      <c r="B20" s="41" t="s">
        <v>448</v>
      </c>
      <c r="C20" s="41" t="s">
        <v>449</v>
      </c>
      <c r="D20" s="41" t="s">
        <v>446</v>
      </c>
      <c r="E20" s="42" t="s">
        <v>421</v>
      </c>
    </row>
    <row r="21" spans="1:5" ht="15" customHeight="1" x14ac:dyDescent="0.35">
      <c r="A21" s="41" t="s">
        <v>443</v>
      </c>
      <c r="B21" s="41" t="s">
        <v>450</v>
      </c>
      <c r="C21" s="41" t="s">
        <v>451</v>
      </c>
      <c r="D21" s="41" t="s">
        <v>446</v>
      </c>
      <c r="E21" s="42" t="s">
        <v>452</v>
      </c>
    </row>
    <row r="22" spans="1:5" ht="15" customHeight="1" x14ac:dyDescent="0.35">
      <c r="A22" s="41" t="s">
        <v>443</v>
      </c>
      <c r="B22" s="41" t="s">
        <v>453</v>
      </c>
      <c r="C22" s="41" t="s">
        <v>454</v>
      </c>
      <c r="D22" s="41" t="s">
        <v>446</v>
      </c>
      <c r="E22" s="42" t="s">
        <v>452</v>
      </c>
    </row>
    <row r="23" spans="1:5" ht="15" customHeight="1" x14ac:dyDescent="0.35">
      <c r="A23" s="41" t="s">
        <v>455</v>
      </c>
      <c r="B23" s="41" t="s">
        <v>456</v>
      </c>
      <c r="C23" s="41" t="s">
        <v>457</v>
      </c>
      <c r="D23" s="41" t="s">
        <v>458</v>
      </c>
      <c r="E23" s="42" t="s">
        <v>459</v>
      </c>
    </row>
    <row r="24" spans="1:5" ht="15" customHeight="1" x14ac:dyDescent="0.35">
      <c r="A24" s="41" t="s">
        <v>460</v>
      </c>
      <c r="B24" s="41" t="s">
        <v>461</v>
      </c>
      <c r="C24" s="41" t="s">
        <v>462</v>
      </c>
      <c r="D24" s="41" t="s">
        <v>463</v>
      </c>
      <c r="E24" s="42" t="s">
        <v>464</v>
      </c>
    </row>
    <row r="25" spans="1:5" ht="15" customHeight="1" x14ac:dyDescent="0.35">
      <c r="A25" s="41" t="s">
        <v>460</v>
      </c>
      <c r="B25" s="41" t="s">
        <v>465</v>
      </c>
      <c r="C25" s="41" t="s">
        <v>466</v>
      </c>
      <c r="D25" s="41" t="s">
        <v>463</v>
      </c>
      <c r="E25" s="42" t="s">
        <v>467</v>
      </c>
    </row>
    <row r="26" spans="1:5" ht="22.4" customHeight="1" x14ac:dyDescent="0.35">
      <c r="A26" s="41" t="s">
        <v>460</v>
      </c>
      <c r="B26" s="41" t="s">
        <v>468</v>
      </c>
      <c r="C26" s="41" t="s">
        <v>469</v>
      </c>
      <c r="D26" s="41" t="s">
        <v>415</v>
      </c>
      <c r="E26" s="42" t="s">
        <v>470</v>
      </c>
    </row>
    <row r="27" spans="1:5" ht="15" customHeight="1" x14ac:dyDescent="0.35">
      <c r="A27" s="41" t="s">
        <v>471</v>
      </c>
      <c r="B27" s="41" t="s">
        <v>472</v>
      </c>
      <c r="C27" s="41" t="s">
        <v>473</v>
      </c>
      <c r="D27" s="41" t="s">
        <v>474</v>
      </c>
      <c r="E27" s="42" t="s">
        <v>475</v>
      </c>
    </row>
    <row r="28" spans="1:5" ht="15" customHeight="1" x14ac:dyDescent="0.35">
      <c r="A28" s="41" t="s">
        <v>471</v>
      </c>
      <c r="B28" s="41" t="s">
        <v>476</v>
      </c>
      <c r="C28" s="41" t="s">
        <v>477</v>
      </c>
      <c r="D28" s="41" t="s">
        <v>474</v>
      </c>
      <c r="E28" s="42" t="s">
        <v>475</v>
      </c>
    </row>
    <row r="29" spans="1:5" ht="22.4" customHeight="1" x14ac:dyDescent="0.35">
      <c r="A29" s="41" t="s">
        <v>471</v>
      </c>
      <c r="B29" s="41" t="s">
        <v>478</v>
      </c>
      <c r="C29" s="41" t="s">
        <v>479</v>
      </c>
      <c r="D29" s="41" t="s">
        <v>480</v>
      </c>
      <c r="E29" s="42" t="s">
        <v>481</v>
      </c>
    </row>
    <row r="30" spans="1:5" ht="15" customHeight="1" x14ac:dyDescent="0.35">
      <c r="A30" s="41" t="s">
        <v>471</v>
      </c>
      <c r="B30" s="41" t="s">
        <v>482</v>
      </c>
      <c r="C30" s="41" t="s">
        <v>483</v>
      </c>
      <c r="D30" s="41" t="s">
        <v>484</v>
      </c>
      <c r="E30" s="42" t="s">
        <v>485</v>
      </c>
    </row>
    <row r="31" spans="1:5" ht="15" customHeight="1" x14ac:dyDescent="0.35">
      <c r="A31" s="41" t="s">
        <v>471</v>
      </c>
      <c r="B31" s="41" t="s">
        <v>486</v>
      </c>
      <c r="C31" s="41" t="s">
        <v>487</v>
      </c>
      <c r="D31" s="41" t="s">
        <v>488</v>
      </c>
      <c r="E31" s="42" t="s">
        <v>485</v>
      </c>
    </row>
    <row r="32" spans="1:5" ht="15" customHeight="1" x14ac:dyDescent="0.35">
      <c r="A32" s="41" t="s">
        <v>471</v>
      </c>
      <c r="B32" s="41" t="s">
        <v>489</v>
      </c>
      <c r="C32" s="41" t="s">
        <v>490</v>
      </c>
      <c r="D32" s="41" t="s">
        <v>484</v>
      </c>
      <c r="E32" s="42" t="s">
        <v>491</v>
      </c>
    </row>
    <row r="33" spans="1:5" ht="15" customHeight="1" x14ac:dyDescent="0.35">
      <c r="A33" s="41" t="s">
        <v>471</v>
      </c>
      <c r="B33" s="41" t="s">
        <v>492</v>
      </c>
      <c r="C33" s="41" t="s">
        <v>493</v>
      </c>
      <c r="D33" s="41" t="s">
        <v>494</v>
      </c>
      <c r="E33" s="42" t="s">
        <v>491</v>
      </c>
    </row>
    <row r="34" spans="1:5" ht="15" customHeight="1" x14ac:dyDescent="0.35">
      <c r="A34" s="41" t="s">
        <v>471</v>
      </c>
      <c r="B34" s="41" t="s">
        <v>495</v>
      </c>
      <c r="C34" s="41" t="s">
        <v>496</v>
      </c>
      <c r="D34" s="41" t="s">
        <v>497</v>
      </c>
      <c r="E34" s="42" t="s">
        <v>498</v>
      </c>
    </row>
    <row r="35" spans="1:5" ht="15" customHeight="1" x14ac:dyDescent="0.35">
      <c r="A35" s="41" t="s">
        <v>499</v>
      </c>
      <c r="B35" s="41" t="s">
        <v>500</v>
      </c>
      <c r="C35" s="41" t="s">
        <v>501</v>
      </c>
      <c r="D35" s="41" t="s">
        <v>502</v>
      </c>
      <c r="E35" s="42" t="s">
        <v>503</v>
      </c>
    </row>
    <row r="36" spans="1:5" ht="15" customHeight="1" x14ac:dyDescent="0.35">
      <c r="A36" s="41" t="s">
        <v>499</v>
      </c>
      <c r="B36" s="41" t="s">
        <v>504</v>
      </c>
      <c r="C36" s="41" t="s">
        <v>505</v>
      </c>
      <c r="D36" s="41" t="s">
        <v>502</v>
      </c>
      <c r="E36" s="42" t="s">
        <v>506</v>
      </c>
    </row>
    <row r="37" spans="1:5" ht="15" customHeight="1" x14ac:dyDescent="0.35">
      <c r="A37" s="41" t="s">
        <v>144</v>
      </c>
      <c r="B37" s="41" t="s">
        <v>507</v>
      </c>
      <c r="C37" s="41" t="s">
        <v>508</v>
      </c>
      <c r="D37" s="41" t="s">
        <v>407</v>
      </c>
      <c r="E37" s="42" t="s">
        <v>509</v>
      </c>
    </row>
    <row r="38" spans="1:5" ht="15" customHeight="1" x14ac:dyDescent="0.35">
      <c r="A38" s="41" t="s">
        <v>144</v>
      </c>
      <c r="B38" s="41" t="s">
        <v>510</v>
      </c>
      <c r="C38" s="41" t="s">
        <v>511</v>
      </c>
      <c r="D38" s="41" t="s">
        <v>407</v>
      </c>
      <c r="E38" s="42" t="s">
        <v>512</v>
      </c>
    </row>
    <row r="39" spans="1:5" ht="15" customHeight="1" x14ac:dyDescent="0.35">
      <c r="A39" s="41" t="s">
        <v>144</v>
      </c>
      <c r="B39" s="41" t="s">
        <v>513</v>
      </c>
      <c r="C39" s="41" t="s">
        <v>514</v>
      </c>
      <c r="D39" s="41" t="s">
        <v>515</v>
      </c>
      <c r="E39" s="42" t="s">
        <v>516</v>
      </c>
    </row>
    <row r="40" spans="1:5" ht="15" customHeight="1" x14ac:dyDescent="0.35">
      <c r="A40" s="41" t="s">
        <v>144</v>
      </c>
      <c r="B40" s="41" t="s">
        <v>427</v>
      </c>
      <c r="C40" s="41" t="s">
        <v>428</v>
      </c>
      <c r="D40" s="41" t="s">
        <v>407</v>
      </c>
      <c r="E40" s="42" t="s">
        <v>517</v>
      </c>
    </row>
    <row r="41" spans="1:5" ht="15" customHeight="1" x14ac:dyDescent="0.35">
      <c r="A41" s="41" t="s">
        <v>144</v>
      </c>
      <c r="B41" s="41" t="s">
        <v>518</v>
      </c>
      <c r="C41" s="41" t="s">
        <v>519</v>
      </c>
      <c r="D41" s="41" t="s">
        <v>407</v>
      </c>
      <c r="E41" s="42" t="s">
        <v>520</v>
      </c>
    </row>
    <row r="42" spans="1:5" x14ac:dyDescent="0.35">
      <c r="A42" t="s">
        <v>471</v>
      </c>
      <c r="B42" t="s">
        <v>521</v>
      </c>
      <c r="C42" t="s">
        <v>522</v>
      </c>
      <c r="D42" t="s">
        <v>523</v>
      </c>
      <c r="E42" t="s">
        <v>524</v>
      </c>
    </row>
    <row r="43" spans="1:5" ht="15" customHeight="1" x14ac:dyDescent="0.35">
      <c r="A43" s="3" t="s">
        <v>471</v>
      </c>
      <c r="B43" t="s">
        <v>472</v>
      </c>
      <c r="C43" t="s">
        <v>473</v>
      </c>
      <c r="D43" t="s">
        <v>474</v>
      </c>
      <c r="E43" t="s">
        <v>525</v>
      </c>
    </row>
    <row r="44" spans="1:5" x14ac:dyDescent="0.35">
      <c r="A44" t="s">
        <v>526</v>
      </c>
      <c r="B44" t="s">
        <v>527</v>
      </c>
      <c r="C44" t="s">
        <v>528</v>
      </c>
      <c r="D44" t="s">
        <v>529</v>
      </c>
      <c r="E44" t="s">
        <v>530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0_README</vt:lpstr>
      <vt:lpstr>1_Cost_Job</vt:lpstr>
      <vt:lpstr>2_Pricing</vt:lpstr>
      <vt:lpstr>3_Value_Metric</vt:lpstr>
      <vt:lpstr>4_Channel_Fit</vt:lpstr>
      <vt:lpstr>5_90Day_Plan</vt:lpstr>
      <vt:lpstr>6_Benchmarks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Luong Thanh Trang 20223529</cp:lastModifiedBy>
  <cp:revision>0</cp:revision>
  <dcterms:created xsi:type="dcterms:W3CDTF">2026-08-26T15:07:08Z</dcterms:created>
  <dcterms:modified xsi:type="dcterms:W3CDTF">2026-08-27T15:37:25Z</dcterms:modified>
  <dc:language>en-US</dc:language>
</cp:coreProperties>
</file>